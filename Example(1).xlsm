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fd34ea0e229e634/Documents/KBTU/Predictive Analytics/Lecture/"/>
    </mc:Choice>
  </mc:AlternateContent>
  <xr:revisionPtr revIDLastSave="1" documentId="8_{9606E6A4-570E-4C92-94DE-FB80902DCB5B}" xr6:coauthVersionLast="47" xr6:coauthVersionMax="47" xr10:uidLastSave="{3A340DF1-5D94-4D0E-9AC3-B46DF11C7FC1}"/>
  <bookViews>
    <workbookView xWindow="-108" yWindow="-108" windowWidth="23256" windowHeight="12456" firstSheet="5" activeTab="9" xr2:uid="{00000000-000D-0000-FFFF-FFFF00000000}"/>
  </bookViews>
  <sheets>
    <sheet name="1-DescriptiveStats" sheetId="5" r:id="rId1"/>
    <sheet name="2-Correlation" sheetId="6" r:id="rId2"/>
    <sheet name="3-SimpleRegression" sheetId="7" r:id="rId3"/>
    <sheet name="4-MultipleRegression" sheetId="8" r:id="rId4"/>
    <sheet name="5-MovingAverage" sheetId="9" r:id="rId5"/>
    <sheet name="6-ExponentialSmooth" sheetId="10" r:id="rId6"/>
    <sheet name="7-ForecastETS" sheetId="11" r:id="rId7"/>
    <sheet name="8-WhatIfAnalysis" sheetId="12" r:id="rId8"/>
    <sheet name="9-ModelEvaluation" sheetId="13" r:id="rId9"/>
    <sheet name="10-QuickReference" sheetId="14" r:id="rId10"/>
  </sheets>
  <definedNames>
    <definedName name="_xleta.DATE" hidden="1" xlm="1">#NAME?</definedName>
    <definedName name="_xleta.INTERCEPT" hidden="1" xlm="1">#NAME?</definedName>
    <definedName name="_xleta.SLOP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4" l="1"/>
  <c r="B24" i="14"/>
  <c r="B19" i="14"/>
  <c r="B18" i="14"/>
  <c r="B17" i="14"/>
  <c r="B16" i="14"/>
  <c r="B15" i="14"/>
  <c r="B14" i="14"/>
  <c r="B9" i="14"/>
  <c r="B8" i="14"/>
  <c r="B7" i="14"/>
  <c r="L10" i="13"/>
  <c r="K10" i="13"/>
  <c r="G15" i="13"/>
  <c r="H15" i="13" s="1"/>
  <c r="D15" i="13"/>
  <c r="F15" i="13" s="1"/>
  <c r="G14" i="13"/>
  <c r="H14" i="13" s="1"/>
  <c r="F14" i="13"/>
  <c r="D14" i="13"/>
  <c r="E14" i="13" s="1"/>
  <c r="H13" i="13"/>
  <c r="G13" i="13"/>
  <c r="D13" i="13"/>
  <c r="F13" i="13" s="1"/>
  <c r="G12" i="13"/>
  <c r="H12" i="13" s="1"/>
  <c r="D12" i="13"/>
  <c r="F12" i="13" s="1"/>
  <c r="G11" i="13"/>
  <c r="H11" i="13" s="1"/>
  <c r="F11" i="13"/>
  <c r="E11" i="13"/>
  <c r="D11" i="13"/>
  <c r="G10" i="13"/>
  <c r="H10" i="13" s="1"/>
  <c r="D10" i="13"/>
  <c r="F10" i="13" s="1"/>
  <c r="G9" i="13"/>
  <c r="H9" i="13" s="1"/>
  <c r="D9" i="13"/>
  <c r="F9" i="13" s="1"/>
  <c r="G8" i="13"/>
  <c r="H8" i="13" s="1"/>
  <c r="D8" i="13"/>
  <c r="F8" i="13" s="1"/>
  <c r="G7" i="13"/>
  <c r="H7" i="13" s="1"/>
  <c r="D7" i="13"/>
  <c r="F7" i="13" s="1"/>
  <c r="G6" i="13"/>
  <c r="H6" i="13" s="1"/>
  <c r="D6" i="13"/>
  <c r="E6" i="13" s="1"/>
  <c r="C28" i="12"/>
  <c r="C27" i="12"/>
  <c r="C26" i="12"/>
  <c r="I8" i="12"/>
  <c r="B10" i="12"/>
  <c r="F7" i="12" s="1"/>
  <c r="D19" i="11"/>
  <c r="D18" i="11"/>
  <c r="D17" i="11"/>
  <c r="D16" i="11"/>
  <c r="D15" i="11"/>
  <c r="D14" i="11"/>
  <c r="D7" i="10"/>
  <c r="F7" i="10" s="1"/>
  <c r="C7" i="10"/>
  <c r="C8" i="10" s="1"/>
  <c r="H20" i="9"/>
  <c r="H15" i="9"/>
  <c r="H9" i="9"/>
  <c r="H8" i="9"/>
  <c r="H7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H26" i="8"/>
  <c r="G7" i="8" a="1"/>
  <c r="J8" i="8" s="1"/>
  <c r="H7" i="8"/>
  <c r="G15" i="8" s="1"/>
  <c r="I7" i="8"/>
  <c r="G14" i="8" s="1"/>
  <c r="J7" i="8"/>
  <c r="G8" i="8"/>
  <c r="H8" i="8"/>
  <c r="I8" i="8"/>
  <c r="H11" i="8"/>
  <c r="I11" i="8"/>
  <c r="J11" i="8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G19" i="7"/>
  <c r="F19" i="7"/>
  <c r="G18" i="7"/>
  <c r="F18" i="7"/>
  <c r="G17" i="7"/>
  <c r="G10" i="7"/>
  <c r="F10" i="7"/>
  <c r="G9" i="7"/>
  <c r="F9" i="7"/>
  <c r="G8" i="7"/>
  <c r="F8" i="7"/>
  <c r="G7" i="7"/>
  <c r="F17" i="7" s="1"/>
  <c r="F7" i="7"/>
  <c r="G6" i="7"/>
  <c r="F6" i="7"/>
  <c r="H19" i="6"/>
  <c r="G19" i="6"/>
  <c r="I15" i="6"/>
  <c r="H15" i="6"/>
  <c r="G15" i="6"/>
  <c r="I14" i="6"/>
  <c r="H14" i="6"/>
  <c r="G14" i="6"/>
  <c r="I13" i="6"/>
  <c r="H13" i="6"/>
  <c r="G13" i="6"/>
  <c r="H8" i="6"/>
  <c r="I8" i="6" s="1"/>
  <c r="G8" i="6"/>
  <c r="H7" i="6"/>
  <c r="I7" i="6" s="1"/>
  <c r="G7" i="6"/>
  <c r="H6" i="6"/>
  <c r="I6" i="6" s="1"/>
  <c r="G6" i="6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B27" i="14"/>
  <c r="E22" i="11"/>
  <c r="E8" i="11"/>
  <c r="B26" i="14"/>
  <c r="E7" i="11"/>
  <c r="B25" i="14"/>
  <c r="E6" i="11"/>
  <c r="E15" i="11"/>
  <c r="E18" i="11"/>
  <c r="H17" i="11"/>
  <c r="H16" i="11"/>
  <c r="H15" i="11"/>
  <c r="E17" i="11"/>
  <c r="H19" i="11"/>
  <c r="E16" i="11"/>
  <c r="E19" i="11"/>
  <c r="H18" i="11"/>
  <c r="H14" i="11"/>
  <c r="E14" i="11"/>
  <c r="E9" i="11"/>
  <c r="F14" i="11" l="1"/>
  <c r="G14" i="11"/>
  <c r="G19" i="11"/>
  <c r="F19" i="11"/>
  <c r="G16" i="11"/>
  <c r="F16" i="11"/>
  <c r="G17" i="11"/>
  <c r="F17" i="11"/>
  <c r="G18" i="11"/>
  <c r="F18" i="11"/>
  <c r="G15" i="11"/>
  <c r="F15" i="11"/>
  <c r="L9" i="13"/>
  <c r="K9" i="13"/>
  <c r="C9" i="10"/>
  <c r="D8" i="10"/>
  <c r="E8" i="13"/>
  <c r="E15" i="13"/>
  <c r="G11" i="8"/>
  <c r="E7" i="10"/>
  <c r="E9" i="13"/>
  <c r="I10" i="8"/>
  <c r="H10" i="8"/>
  <c r="E13" i="13"/>
  <c r="J9" i="8"/>
  <c r="E10" i="13"/>
  <c r="I9" i="8"/>
  <c r="E7" i="13"/>
  <c r="K6" i="13" s="1"/>
  <c r="F6" i="13"/>
  <c r="H9" i="8"/>
  <c r="E12" i="13"/>
  <c r="G7" i="8"/>
  <c r="G16" i="8" s="1"/>
  <c r="J10" i="8"/>
  <c r="G10" i="8"/>
  <c r="E13" i="7"/>
  <c r="G9" i="8"/>
  <c r="G17" i="8" s="1"/>
  <c r="F8" i="10" l="1"/>
  <c r="E8" i="10"/>
  <c r="L8" i="13"/>
  <c r="K8" i="13"/>
  <c r="L7" i="13"/>
  <c r="K7" i="13"/>
  <c r="L6" i="13"/>
  <c r="C10" i="10"/>
  <c r="D9" i="10"/>
  <c r="H25" i="8"/>
  <c r="F9" i="10" l="1"/>
  <c r="E9" i="10"/>
  <c r="D10" i="10"/>
  <c r="C11" i="10"/>
  <c r="C12" i="10" l="1"/>
  <c r="D11" i="10"/>
  <c r="E10" i="10"/>
  <c r="F10" i="10"/>
  <c r="E11" i="10" l="1"/>
  <c r="F11" i="10"/>
  <c r="C13" i="10"/>
  <c r="D12" i="10"/>
  <c r="F12" i="10" l="1"/>
  <c r="E12" i="10"/>
  <c r="D13" i="10"/>
  <c r="C14" i="10"/>
  <c r="C15" i="10" l="1"/>
  <c r="D14" i="10"/>
  <c r="F13" i="10"/>
  <c r="E13" i="10"/>
  <c r="F14" i="10" l="1"/>
  <c r="E14" i="10"/>
  <c r="D15" i="10"/>
  <c r="C16" i="10"/>
  <c r="D16" i="10" l="1"/>
  <c r="C17" i="10"/>
  <c r="F15" i="10"/>
  <c r="E15" i="10"/>
  <c r="C18" i="10" l="1"/>
  <c r="D17" i="10"/>
  <c r="E16" i="10"/>
  <c r="F16" i="10"/>
  <c r="E17" i="10" l="1"/>
  <c r="F17" i="10"/>
  <c r="D18" i="10"/>
  <c r="D19" i="10"/>
  <c r="F18" i="10" l="1"/>
  <c r="I8" i="10" s="1"/>
  <c r="I9" i="10" s="1"/>
  <c r="E18" i="10"/>
  <c r="I7" i="10" s="1"/>
</calcChain>
</file>

<file path=xl/sharedStrings.xml><?xml version="1.0" encoding="utf-8"?>
<sst xmlns="http://schemas.openxmlformats.org/spreadsheetml/2006/main" count="323" uniqueCount="267">
  <si>
    <t>Quick Reference Guide</t>
  </si>
  <si>
    <t>All key functions in one place</t>
  </si>
  <si>
    <t>DESCRIPTIVE STATISTICS</t>
  </si>
  <si>
    <t>Function</t>
  </si>
  <si>
    <t>Syntax</t>
  </si>
  <si>
    <t>Purpose</t>
  </si>
  <si>
    <t>AVERAGE</t>
  </si>
  <si>
    <t>Calculate mean</t>
  </si>
  <si>
    <t>MEDIAN</t>
  </si>
  <si>
    <t>Find middle value</t>
  </si>
  <si>
    <t>STDEV.S</t>
  </si>
  <si>
    <t>Sample standard deviation</t>
  </si>
  <si>
    <t>PERCENTILE.INC</t>
  </si>
  <si>
    <t>Find kth percentile</t>
  </si>
  <si>
    <t>CORRELATION &amp; REGRESSION</t>
  </si>
  <si>
    <t>CORREL</t>
  </si>
  <si>
    <t>Correlation coefficient</t>
  </si>
  <si>
    <t>SLOPE</t>
  </si>
  <si>
    <t>Regression slope (ß1)</t>
  </si>
  <si>
    <t>INTERCEPT</t>
  </si>
  <si>
    <t>Regression intercept (ß0)</t>
  </si>
  <si>
    <t>RSQ</t>
  </si>
  <si>
    <t>R-squared value</t>
  </si>
  <si>
    <t>LINEST</t>
  </si>
  <si>
    <t>Full regression statistics</t>
  </si>
  <si>
    <t>TREND</t>
  </si>
  <si>
    <t>Predict values</t>
  </si>
  <si>
    <t>TIME-SERIES FORECASTING</t>
  </si>
  <si>
    <t>FORECAST.LINEAR</t>
  </si>
  <si>
    <t>Linear trend forecast</t>
  </si>
  <si>
    <t>FORECAST.ETS</t>
  </si>
  <si>
    <t>Seasonal forecast</t>
  </si>
  <si>
    <t>FORECAST.ETS.CONFINT</t>
  </si>
  <si>
    <t>Confidence interval</t>
  </si>
  <si>
    <t>FORECAST.ETS.SEASONALITY</t>
  </si>
  <si>
    <t>Detect seasonality</t>
  </si>
  <si>
    <t>KEY TIPS</t>
  </si>
  <si>
    <t>1. Enable Data Analysis ToolPak: File &gt; Options &gt; Add-ins</t>
  </si>
  <si>
    <t>2. For array formulas in older Excel: Press Ctrl+Shift+Enter</t>
  </si>
  <si>
    <t>3. LINEST returns coefficients in REVERSE order</t>
  </si>
  <si>
    <t>4. Always check R² and residuals before trusting model</t>
  </si>
  <si>
    <t>5. Use Forecast Sheet (Data tab) for quick visual forecasts</t>
  </si>
  <si>
    <t>6. Goal Seek finds input for desired output</t>
  </si>
  <si>
    <t>7. Scenario Manager compares multiple what-if cases</t>
  </si>
  <si>
    <t>Descriptive Statistics Examples</t>
  </si>
  <si>
    <t>Basic statistical functions for data analysis</t>
  </si>
  <si>
    <t>Sample Sales Data</t>
  </si>
  <si>
    <t>Month</t>
  </si>
  <si>
    <t>Sales ($)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</si>
  <si>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</si>
  <si>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</si>
  <si>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</si>
  <si>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</si>
  <si>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</si>
  <si>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</si>
  <si>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</si>
  <si>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</si>
  <si>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</si>
  <si>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</si>
  <si>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</si>
  <si>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</si>
  <si>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Statistical Measures</t>
  </si>
  <si>
    <t>Statistic</t>
  </si>
  <si>
    <t>Formula</t>
  </si>
  <si>
    <t>Result</t>
  </si>
  <si>
    <t>Count</t>
  </si>
  <si>
    <t>Sum</t>
  </si>
  <si>
    <t>Mean (Average)</t>
  </si>
  <si>
    <t>Median</t>
  </si>
  <si>
    <t>Mode</t>
  </si>
  <si>
    <t>Minimum</t>
  </si>
  <si>
    <t>Maximum</t>
  </si>
  <si>
    <t>Range</t>
  </si>
  <si>
    <t>Std Deviation (Sample)</t>
  </si>
  <si>
    <t>Variance (Sample)</t>
  </si>
  <si>
    <t>Q1 (25th Percentile)</t>
  </si>
  <si>
    <t>Q3 (75th Percentile)</t>
  </si>
  <si>
    <t>IQR</t>
  </si>
  <si>
    <t>Skewness</t>
  </si>
  <si>
    <t>Kurtosis</t>
  </si>
  <si>
    <t>TIP: Use Data &gt; Data Analysis &gt; Descriptive Statistics for quick summary</t>
  </si>
  <si>
    <t>Correlation Analysis</t>
  </si>
  <si>
    <t>Measuring relationships between variables</t>
  </si>
  <si>
    <t>Advertising &amp; Sales Data</t>
  </si>
  <si>
    <t>Ad Spend ($)</t>
  </si>
  <si>
    <t>Staff Count</t>
  </si>
  <si>
    <t>Relationship</t>
  </si>
  <si>
    <t>Correlation (r)</t>
  </si>
  <si>
    <t>Interpretation</t>
  </si>
  <si>
    <t>Ad Spend vs Sales</t>
  </si>
  <si>
    <t>Staff vs Sales</t>
  </si>
  <si>
    <t>Ad Spend vs Staff</t>
  </si>
  <si>
    <t>Correlation Matrix</t>
  </si>
  <si>
    <t>Ad Spend</t>
  </si>
  <si>
    <t>Sales</t>
  </si>
  <si>
    <t>Staff</t>
  </si>
  <si>
    <t>Covariance</t>
  </si>
  <si>
    <t>Ad Spend &amp; Sales</t>
  </si>
  <si>
    <t>Simple Linear Regression</t>
  </si>
  <si>
    <t>Predicting Sales from Advertising Spend</t>
  </si>
  <si>
    <t>Training Data</t>
  </si>
  <si>
    <t>Observation</t>
  </si>
  <si>
    <t>Ad Spend (X)</t>
  </si>
  <si>
    <t>Sales (Y)</t>
  </si>
  <si>
    <t>Regression Analysis</t>
  </si>
  <si>
    <t>Component</t>
  </si>
  <si>
    <t>Value</t>
  </si>
  <si>
    <t>Slope (ß1)</t>
  </si>
  <si>
    <t>For each $1 in ads, sales increase by this amount</t>
  </si>
  <si>
    <t>Intercept (ß0)</t>
  </si>
  <si>
    <t>Sales when Ad Spend = 0</t>
  </si>
  <si>
    <t>R-Squared</t>
  </si>
  <si>
    <t>% of variance explained</t>
  </si>
  <si>
    <t>Correlation</t>
  </si>
  <si>
    <t>Strength of relationship</t>
  </si>
  <si>
    <t>Std Error</t>
  </si>
  <si>
    <t>Typical prediction error</t>
  </si>
  <si>
    <t>Regression Equation:</t>
  </si>
  <si>
    <t>Make a Prediction</t>
  </si>
  <si>
    <t>Enter Ad Spend:</t>
  </si>
  <si>
    <t>Method 1: Manual</t>
  </si>
  <si>
    <t>Method 2: FORECAST</t>
  </si>
  <si>
    <t>Method 3: TREND</t>
  </si>
  <si>
    <t>Predicted</t>
  </si>
  <si>
    <t>Multiple Linear Regression</t>
  </si>
  <si>
    <t>Predicting Sales from Multiple Factors</t>
  </si>
  <si>
    <t>Obs</t>
  </si>
  <si>
    <t>Price</t>
  </si>
  <si>
    <t>LINEST Output (Enter as Array: Ctrl+Shift+Enter)</t>
  </si>
  <si>
    <t>Formula: =LINEST(E6:E20,B6:D20,TRUE,TRUE)</t>
  </si>
  <si>
    <t>ß3 (Price)</t>
  </si>
  <si>
    <t>ß2 (Staff)</t>
  </si>
  <si>
    <t>ß1 (Ads)</t>
  </si>
  <si>
    <t>ß0 (Intercept)</t>
  </si>
  <si>
    <t>Coefficients</t>
  </si>
  <si>
    <t>Std Errors</t>
  </si>
  <si>
    <t>R² / Std Err Y</t>
  </si>
  <si>
    <t>F-stat / df</t>
  </si>
  <si>
    <t>SS Reg / SS Resid</t>
  </si>
  <si>
    <t>Interpreting the Coefficients:</t>
  </si>
  <si>
    <t>Prediction Calculator</t>
  </si>
  <si>
    <t>Ad Spend:</t>
  </si>
  <si>
    <t>Staff:</t>
  </si>
  <si>
    <t>Price:</t>
  </si>
  <si>
    <t>Predicted Sales:</t>
  </si>
  <si>
    <t>Using TREND:</t>
  </si>
  <si>
    <t>Moving Average Forecasting</t>
  </si>
  <si>
    <t>Smoothing time series data</t>
  </si>
  <si>
    <t>Monthly Sales Data (24 months)</t>
  </si>
  <si>
    <t>3-Month MA</t>
  </si>
  <si>
    <t>6-Month MA</t>
  </si>
  <si>
    <t>12-Month MA</t>
  </si>
  <si>
    <t>Forecasting with Moving Average</t>
  </si>
  <si>
    <t>Forecast for Next Month (Jan-25):</t>
  </si>
  <si>
    <t>Using 3-Month MA:</t>
  </si>
  <si>
    <t>Using 6-Month MA:</t>
  </si>
  <si>
    <t>Using 12-Month MA:</t>
  </si>
  <si>
    <t>Weighted Moving Average (3-Month)</t>
  </si>
  <si>
    <t>Weights: Recent=0.5, Middle=0.3, Oldest=0.2</t>
  </si>
  <si>
    <t>Formula: =SUMPRODUCT(B27:B29,{0.2,0.3,0.5})</t>
  </si>
  <si>
    <t>Forecast:</t>
  </si>
  <si>
    <t>Custom Moving Average Calculator</t>
  </si>
  <si>
    <t>Number of periods:</t>
  </si>
  <si>
    <t>Custom MA Forecast:</t>
  </si>
  <si>
    <t>Exponential Smoothing</t>
  </si>
  <si>
    <t>Weighted forecasting with decay</t>
  </si>
  <si>
    <t>Smoothing Parameter (a):</t>
  </si>
  <si>
    <t>? Change this value (0 to 1)</t>
  </si>
  <si>
    <t>Period</t>
  </si>
  <si>
    <t>Actual</t>
  </si>
  <si>
    <t>Forecast</t>
  </si>
  <si>
    <t>Error</t>
  </si>
  <si>
    <t>Abs Error</t>
  </si>
  <si>
    <t>Sq Error</t>
  </si>
  <si>
    <t>Next Period Forecast:</t>
  </si>
  <si>
    <t>Accuracy Metrics</t>
  </si>
  <si>
    <t>MAE (Mean Absolute Error):</t>
  </si>
  <si>
    <t>MSE (Mean Squared Error):</t>
  </si>
  <si>
    <t>RMSE (Root MSE):</t>
  </si>
  <si>
    <t>Compare Different Alpha Values</t>
  </si>
  <si>
    <t>Alpha</t>
  </si>
  <si>
    <t>RMSE</t>
  </si>
  <si>
    <t>Notes</t>
  </si>
  <si>
    <t>Very smooth, slow to react</t>
  </si>
  <si>
    <t>Balanced</t>
  </si>
  <si>
    <t>Moderate</t>
  </si>
  <si>
    <t>Reactive</t>
  </si>
  <si>
    <t>Very reactive, noisy</t>
  </si>
  <si>
    <t>TIP: Use Data Analysis ToolPak for automatic exponential smoothing</t>
  </si>
  <si>
    <t>Note: ToolPak asks for 'Damping Factor' = 1 - alpha</t>
  </si>
  <si>
    <t>FORECAST.ETS Functions (Excel 2016+)</t>
  </si>
  <si>
    <t>Automatic seasonal forecasting</t>
  </si>
  <si>
    <t>Monthly Sales with Seasonality</t>
  </si>
  <si>
    <t>Date</t>
  </si>
  <si>
    <t>Forecast Dates</t>
  </si>
  <si>
    <t>FORECAST.ETS Functions</t>
  </si>
  <si>
    <t>Formula Example</t>
  </si>
  <si>
    <t>Description</t>
  </si>
  <si>
    <t>Point forecast for target date</t>
  </si>
  <si>
    <t>95% confidence interval width</t>
  </si>
  <si>
    <t>Detected seasonality period</t>
  </si>
  <si>
    <t>FORECAST.ETS.STAT</t>
  </si>
  <si>
    <t>Model statistics (1=alpha, 2=beta, etc.)</t>
  </si>
  <si>
    <t>Forecasts for Next 6 Months</t>
  </si>
  <si>
    <t>Lower 95%</t>
  </si>
  <si>
    <t>Upper 95%</t>
  </si>
  <si>
    <t>Conf Interval</t>
  </si>
  <si>
    <t>Detected Seasonality:</t>
  </si>
  <si>
    <t>months</t>
  </si>
  <si>
    <t>TIP: Use Data &gt; Forecast Sheet for automatic chart with confidence bands!</t>
  </si>
  <si>
    <t>What-If Analysis Tools</t>
  </si>
  <si>
    <t>Exploring different scenarios</t>
  </si>
  <si>
    <t>Sales Prediction Model</t>
  </si>
  <si>
    <t>Variable</t>
  </si>
  <si>
    <t>Input variable</t>
  </si>
  <si>
    <t>Coefficient</t>
  </si>
  <si>
    <t>From regression</t>
  </si>
  <si>
    <t>Intercept</t>
  </si>
  <si>
    <t>Base sales</t>
  </si>
  <si>
    <t>1. Data Table (One Variable)</t>
  </si>
  <si>
    <t>See how Sales changes with different Ad Spend values</t>
  </si>
  <si>
    <t>To create this Data Table:</t>
  </si>
  <si>
    <t>1. Select E7:F15</t>
  </si>
  <si>
    <t>2. Data &gt; What-If Analysis &gt; Data Table</t>
  </si>
  <si>
    <t>3. Column input cell: $B$6</t>
  </si>
  <si>
    <t>2. Goal Seek</t>
  </si>
  <si>
    <t>Find the Ad Spend needed to reach a target Sales</t>
  </si>
  <si>
    <t>Target Sales:</t>
  </si>
  <si>
    <t>Required Ad Spend:</t>
  </si>
  <si>
    <t>To use Goal Seek:</t>
  </si>
  <si>
    <t>1. Data &gt; What-If Analysis &gt; Goal Seek</t>
  </si>
  <si>
    <t>2. Set cell: $B$10 (prediction)</t>
  </si>
  <si>
    <t>3. To value: 100000</t>
  </si>
  <si>
    <t>4. By changing cell: $B$6 (ad spend)</t>
  </si>
  <si>
    <t>3. Scenario Manager</t>
  </si>
  <si>
    <t>Compare multiple scenarios side by side</t>
  </si>
  <si>
    <t>Scenario</t>
  </si>
  <si>
    <t>Pessimistic</t>
  </si>
  <si>
    <t>Base Case</t>
  </si>
  <si>
    <t>Optimistic</t>
  </si>
  <si>
    <t>To create scenarios: Data &gt; What-If Analysis &gt; Scenario Manager</t>
  </si>
  <si>
    <t>Model Evaluation Metrics</t>
  </si>
  <si>
    <t>Measuring prediction accuracy</t>
  </si>
  <si>
    <t>Actual vs Predicted Values</t>
  </si>
  <si>
    <t>Actual (Y)</t>
  </si>
  <si>
    <t>Predicted (Y)</t>
  </si>
  <si>
    <t>Squared Error</t>
  </si>
  <si>
    <t>% Error</t>
  </si>
  <si>
    <t>Abs % Error</t>
  </si>
  <si>
    <t>Metric</t>
  </si>
  <si>
    <t>MAE</t>
  </si>
  <si>
    <t>Average absolute error</t>
  </si>
  <si>
    <t>MSE</t>
  </si>
  <si>
    <t>Average squared error</t>
  </si>
  <si>
    <t>Root mean squared error</t>
  </si>
  <si>
    <t>MAPE</t>
  </si>
  <si>
    <t>Mean absolute % error</t>
  </si>
  <si>
    <t>Variance explained (0-1)</t>
  </si>
  <si>
    <t>MAPE Interpretation Guide</t>
  </si>
  <si>
    <t>&lt; 10%</t>
  </si>
  <si>
    <t>Excellent forecast</t>
  </si>
  <si>
    <t>10-20%</t>
  </si>
  <si>
    <t>Good forecast</t>
  </si>
  <si>
    <t>20-50%</t>
  </si>
  <si>
    <t>Reasonable forecast</t>
  </si>
  <si>
    <t>&gt; 50%</t>
  </si>
  <si>
    <t>Poor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</si>
</sst>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"/>
    <numFmt numFmtId="165" formatCode="0.0000"/>
    <numFmt numFmtId="166" formatCode="#,##0.0000"/>
    <numFmt numFmtId="167" formatCode="&quot;$&quot;#,##0.00"/>
    <numFmt numFmtId="168" formatCode="mmm\-yyyy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3366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64646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2"/>
      <color rgb="FF0064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8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FFF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/>
    <xf numFmtId="0" fontId="5" fillId="0" borderId="0" xfId="0" applyFont="1"/>
    <xf numFmtId="0" fontId="0" fillId="0" borderId="1" xfId="0" applyBorder="1"/>
    <xf numFmtId="0" fontId="6" fillId="2" borderId="1" xfId="0" applyFont="1" applyFill="1" applyBorder="1"/>
    <xf numFmtId="0" fontId="7" fillId="0" borderId="0" xfId="0" applyFont="1"/>
    <xf numFmtId="4" fontId="0" fillId="0" borderId="1" xfId="0" applyNumberFormat="1" applyBorder="1"/>
    <xf numFmtId="0" fontId="8" fillId="0" borderId="0" xfId="0" applyFont="1"/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4" fontId="0" fillId="0" borderId="0" xfId="0" applyNumberFormat="1"/>
    <xf numFmtId="166" fontId="0" fillId="0" borderId="1" xfId="0" applyNumberFormat="1" applyBorder="1"/>
    <xf numFmtId="0" fontId="9" fillId="0" borderId="0" xfId="0" applyFont="1"/>
    <xf numFmtId="0" fontId="0" fillId="3" borderId="0" xfId="0" applyFill="1"/>
    <xf numFmtId="0" fontId="0" fillId="3" borderId="1" xfId="0" applyFill="1" applyBorder="1"/>
    <xf numFmtId="167" fontId="0" fillId="0" borderId="1" xfId="0" applyNumberFormat="1" applyBorder="1"/>
    <xf numFmtId="164" fontId="0" fillId="0" borderId="0" xfId="0" applyNumberFormat="1"/>
    <xf numFmtId="164" fontId="10" fillId="0" borderId="0" xfId="0" applyNumberFormat="1" applyFont="1"/>
    <xf numFmtId="164" fontId="11" fillId="0" borderId="0" xfId="0" applyNumberFormat="1" applyFont="1"/>
    <xf numFmtId="16" fontId="0" fillId="0" borderId="1" xfId="0" applyNumberFormat="1" applyBorder="1"/>
    <xf numFmtId="164" fontId="1" fillId="0" borderId="0" xfId="0" applyNumberFormat="1" applyFont="1"/>
    <xf numFmtId="0" fontId="1" fillId="3" borderId="0" xfId="0" applyFont="1" applyFill="1"/>
    <xf numFmtId="2" fontId="0" fillId="0" borderId="0" xfId="0" applyNumberFormat="1"/>
    <xf numFmtId="2" fontId="12" fillId="0" borderId="0" xfId="0" applyNumberFormat="1" applyFont="1"/>
    <xf numFmtId="168" fontId="0" fillId="0" borderId="0" xfId="0" applyNumberFormat="1"/>
    <xf numFmtId="168" fontId="0" fillId="0" borderId="1" xfId="0" applyNumberFormat="1" applyBorder="1"/>
    <xf numFmtId="0" fontId="13" fillId="0" borderId="0" xfId="0" applyFont="1"/>
    <xf numFmtId="164" fontId="6" fillId="2" borderId="1" xfId="0" applyNumberFormat="1" applyFont="1" applyFill="1" applyBorder="1"/>
    <xf numFmtId="164" fontId="0" fillId="3" borderId="0" xfId="0" applyNumberFormat="1" applyFill="1"/>
    <xf numFmtId="0" fontId="14" fillId="0" borderId="0" xfId="0" applyFont="1"/>
    <xf numFmtId="10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7FD11-8862-4719-83BD-F860307837BF}">
  <sheetPr codeName="Sheet5"/>
  <dimension ref="A1:F20"/>
  <sheetViews>
    <sheetView workbookViewId="0">
      <selection activeCell="E10" sqref="E10"/>
    </sheetView>
  </sheetViews>
  <sheetFormatPr defaultRowHeight="14.4" x14ac:dyDescent="0.3"/>
  <cols>
    <col min="1" max="1" width="40.33203125" bestFit="1" customWidth="1"/>
    <col min="2" max="2" width="8" bestFit="1" customWidth="1"/>
    <col min="4" max="4" width="19.44140625" bestFit="1" customWidth="1"/>
    <col min="5" max="5" width="45.77734375" customWidth="1"/>
    <col min="6" max="6" width="12.6640625" bestFit="1" customWidth="1"/>
  </cols>
  <sheetData>
    <row r="1" spans="1:6" ht="21" x14ac:dyDescent="0.4">
      <c r="A1" s="1" t="s">
        <v>44</v>
      </c>
    </row>
    <row r="2" spans="1:6" x14ac:dyDescent="0.3">
      <c r="A2" s="3" t="s">
        <v>45</v>
      </c>
    </row>
    <row r="4" spans="1:6" x14ac:dyDescent="0.3">
      <c r="A4" s="4" t="s">
        <v>46</v>
      </c>
      <c r="D4" s="4" t="s">
        <v>61</v>
      </c>
    </row>
    <row r="5" spans="1:6" x14ac:dyDescent="0.3">
      <c r="A5" s="7" t="s">
        <v>47</v>
      </c>
      <c r="B5" s="7" t="s">
        <v>48</v>
      </c>
      <c r="D5" s="7" t="s">
        <v>62</v>
      </c>
      <c r="E5" s="7" t="s">
        <v>63</v>
      </c>
      <c r="F5" s="7" t="s">
        <v>64</v>
      </c>
    </row>
    <row r="6" spans="1:6" x14ac:dyDescent="0.3">
      <c r="A6" s="6" t="s">
        <v>49</v>
      </c>
      <c r="B6" s="6">
        <v>15000</v>
      </c>
      <c r="D6" s="6" t="s">
        <v>65</v>
      </c>
      <c r="E6" s="6">
        <f>COUNT(B6:B17)</f>
        <v>12</v>
      </c>
      <c r="F6" s="9">
        <f>COUNT(B6:B17)</f>
        <v>12</v>
      </c>
    </row>
    <row r="7" spans="1:6" x14ac:dyDescent="0.3">
      <c r="A7" s="6" t="s">
        <v>50</v>
      </c>
      <c r="B7" s="6">
        <v>18500</v>
      </c>
      <c r="D7" s="6" t="s">
        <v>66</v>
      </c>
      <c r="E7" s="6">
        <f>SUM(B6:B17)</f>
        <v>266000</v>
      </c>
      <c r="F7" s="9">
        <f>SUM(B6:B17)</f>
        <v>266000</v>
      </c>
    </row>
    <row r="8" spans="1:6" x14ac:dyDescent="0.3">
      <c r="A8" s="6" t="s">
        <v>51</v>
      </c>
      <c r="B8" s="6">
        <v>17200</v>
      </c>
      <c r="D8" s="6" t="s">
        <v>67</v>
      </c>
      <c r="E8" s="6">
        <f>AVERAGE(B6:B17)</f>
        <v>22166.666666666668</v>
      </c>
      <c r="F8" s="9">
        <f>AVERAGE(B6:B17)</f>
        <v>22166.666666666668</v>
      </c>
    </row>
    <row r="9" spans="1:6" x14ac:dyDescent="0.3">
      <c r="A9" s="6" t="s">
        <v>52</v>
      </c>
      <c r="B9" s="6">
        <v>19800</v>
      </c>
      <c r="D9" s="6" t="s">
        <v>68</v>
      </c>
      <c r="E9" s="6">
        <f>MEDIAN(B6:B17)</f>
        <v>21750</v>
      </c>
      <c r="F9" s="9">
        <f>MEDIAN(B6:B17)</f>
        <v>21750</v>
      </c>
    </row>
    <row r="10" spans="1:6" x14ac:dyDescent="0.3">
      <c r="A10" s="6" t="s">
        <v>53</v>
      </c>
      <c r="B10" s="6">
        <v>21000</v>
      </c>
      <c r="D10" s="6" t="s">
        <v>69</v>
      </c>
      <c r="E10" s="6" t="e">
        <f>_xlfn.MODE.SNGL(B6:B17)</f>
        <v>#N/A</v>
      </c>
      <c r="F10" s="9" t="str">
        <f>IFERROR(_xlfn.MODE.SNGL(B6:B17),"No mode")</f>
        <v>No mode</v>
      </c>
    </row>
    <row r="11" spans="1:6" x14ac:dyDescent="0.3">
      <c r="A11" s="6" t="s">
        <v>54</v>
      </c>
      <c r="B11" s="6">
        <v>20500</v>
      </c>
      <c r="D11" s="6" t="s">
        <v>70</v>
      </c>
      <c r="E11" s="6">
        <f>MIN(B6:B17)</f>
        <v>15000</v>
      </c>
      <c r="F11" s="9">
        <f>MIN(B6:B17)</f>
        <v>15000</v>
      </c>
    </row>
    <row r="12" spans="1:6" x14ac:dyDescent="0.3">
      <c r="A12" s="6" t="s">
        <v>55</v>
      </c>
      <c r="B12" s="6">
        <v>23000</v>
      </c>
      <c r="D12" s="6" t="s">
        <v>71</v>
      </c>
      <c r="E12" s="6">
        <f>MAX(B6:B17)</f>
        <v>31000</v>
      </c>
      <c r="F12" s="9">
        <f>MAX(B6:B17)</f>
        <v>31000</v>
      </c>
    </row>
    <row r="13" spans="1:6" x14ac:dyDescent="0.3">
      <c r="A13" s="6" t="s">
        <v>56</v>
      </c>
      <c r="B13" s="6">
        <v>22500</v>
      </c>
      <c r="D13" s="6" t="s">
        <v>72</v>
      </c>
      <c r="E13" s="6">
        <f>MAX(B6:B17)-MIN(B6:B17)</f>
        <v>16000</v>
      </c>
      <c r="F13" s="9">
        <f>MAX(B6:B17)-MIN(B6:B17)</f>
        <v>16000</v>
      </c>
    </row>
    <row r="14" spans="1:6" x14ac:dyDescent="0.3">
      <c r="A14" s="6" t="s">
        <v>57</v>
      </c>
      <c r="B14" s="6">
        <v>24000</v>
      </c>
      <c r="D14" s="6" t="s">
        <v>73</v>
      </c>
      <c r="E14" s="6">
        <f>_xlfn.STDEV.S(B6:B17)</f>
        <v>4538.1881313087433</v>
      </c>
      <c r="F14" s="9">
        <f>_xlfn.STDEV.S(B6:B17)</f>
        <v>4538.1881313087433</v>
      </c>
    </row>
    <row r="15" spans="1:6" x14ac:dyDescent="0.3">
      <c r="A15" s="6" t="s">
        <v>58</v>
      </c>
      <c r="B15" s="6">
        <v>25500</v>
      </c>
      <c r="D15" s="6" t="s">
        <v>74</v>
      </c>
      <c r="E15" s="6">
        <f>_xlfn.VAR.S(B6:B17)</f>
        <v>20595151.515151545</v>
      </c>
      <c r="F15" s="9">
        <f>_xlfn.VAR.S(B6:B17)</f>
        <v>20595151.515151545</v>
      </c>
    </row>
    <row r="16" spans="1:6" x14ac:dyDescent="0.3">
      <c r="A16" s="6" t="s">
        <v>59</v>
      </c>
      <c r="B16" s="6">
        <v>28000</v>
      </c>
      <c r="D16" s="6" t="s">
        <v>75</v>
      </c>
      <c r="E16" s="6">
        <f>_xlfn.PERCENTILE.INC(B6:B17,0.25)</f>
        <v>19475</v>
      </c>
      <c r="F16" s="9">
        <f>_xlfn.PERCENTILE.INC(B6:B17,0.25)</f>
        <v>19475</v>
      </c>
    </row>
    <row r="17" spans="1:6" x14ac:dyDescent="0.3">
      <c r="A17" s="6" t="s">
        <v>60</v>
      </c>
      <c r="B17" s="6">
        <v>31000</v>
      </c>
      <c r="D17" s="6" t="s">
        <v>76</v>
      </c>
      <c r="E17" s="6">
        <f>_xlfn.PERCENTILE.INC(B6:B17,0.75)</f>
        <v>24375</v>
      </c>
      <c r="F17" s="9">
        <f>_xlfn.PERCENTILE.INC(B6:B17,0.75)</f>
        <v>24375</v>
      </c>
    </row>
    <row r="18" spans="1:6" x14ac:dyDescent="0.3">
      <c r="D18" s="6" t="s">
        <v>77</v>
      </c>
      <c r="E18" s="6">
        <f>_xlfn.QUARTILE.INC(B6:B17,3)-_xlfn.QUARTILE.INC(B6:B17,1)</f>
        <v>4900</v>
      </c>
      <c r="F18" s="9">
        <f>_xlfn.QUARTILE.INC(B6:B17,3)-_xlfn.QUARTILE.INC(B6:B17,1)</f>
        <v>4900</v>
      </c>
    </row>
    <row r="19" spans="1:6" x14ac:dyDescent="0.3">
      <c r="D19" s="6" t="s">
        <v>78</v>
      </c>
      <c r="E19" s="6">
        <f>SKEW(B6:B17)</f>
        <v>0.43440558679058661</v>
      </c>
      <c r="F19" s="9">
        <f>SKEW(B6:B17)</f>
        <v>0.43440558679058661</v>
      </c>
    </row>
    <row r="20" spans="1:6" x14ac:dyDescent="0.3">
      <c r="A20" s="10" t="s">
        <v>80</v>
      </c>
      <c r="D20" s="6" t="s">
        <v>79</v>
      </c>
      <c r="E20" s="6">
        <f>KURT(B6:B17)</f>
        <v>-2.6904067354278638E-3</v>
      </c>
      <c r="F20" s="9">
        <f>KURT(B6:B17)</f>
        <v>-2.6904067354278638E-3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07750-02EB-4746-A6AE-183E7FD5F60E}">
  <sheetPr codeName="Sheet6"/>
  <dimension ref="A1:I19"/>
  <sheetViews>
    <sheetView workbookViewId="0"/>
  </sheetViews>
  <sheetFormatPr defaultRowHeight="14.4" x14ac:dyDescent="0.3"/>
  <cols>
    <col min="1" max="1" width="36.77734375" bestFit="1" customWidth="1"/>
    <col min="2" max="2" width="11.88671875" bestFit="1" customWidth="1"/>
    <col min="3" max="3" width="8" bestFit="1" customWidth="1"/>
    <col min="4" max="4" width="10.5546875" bestFit="1" customWidth="1"/>
    <col min="6" max="6" width="17.77734375" bestFit="1" customWidth="1"/>
    <col min="7" max="7" width="35.77734375" customWidth="1"/>
    <col min="8" max="8" width="12.77734375" bestFit="1" customWidth="1"/>
    <col min="9" max="9" width="18.77734375" customWidth="1"/>
  </cols>
  <sheetData>
    <row r="1" spans="1:9" ht="21" x14ac:dyDescent="0.4">
      <c r="A1" s="1" t="s">
        <v>81</v>
      </c>
    </row>
    <row r="2" spans="1:9" x14ac:dyDescent="0.3">
      <c r="A2" s="3" t="s">
        <v>82</v>
      </c>
    </row>
    <row r="4" spans="1:9" x14ac:dyDescent="0.3">
      <c r="A4" s="4" t="s">
        <v>83</v>
      </c>
      <c r="F4" s="4" t="s">
        <v>81</v>
      </c>
    </row>
    <row r="5" spans="1:9" x14ac:dyDescent="0.3">
      <c r="A5" s="7" t="s">
        <v>47</v>
      </c>
      <c r="B5" s="7" t="s">
        <v>84</v>
      </c>
      <c r="C5" s="7" t="s">
        <v>48</v>
      </c>
      <c r="D5" s="7" t="s">
        <v>85</v>
      </c>
      <c r="F5" s="7" t="s">
        <v>86</v>
      </c>
      <c r="G5" s="7" t="s">
        <v>63</v>
      </c>
      <c r="H5" s="7" t="s">
        <v>87</v>
      </c>
      <c r="I5" s="7" t="s">
        <v>88</v>
      </c>
    </row>
    <row r="6" spans="1:9" x14ac:dyDescent="0.3">
      <c r="A6" s="6" t="s">
        <v>49</v>
      </c>
      <c r="B6" s="11">
        <v>5000</v>
      </c>
      <c r="C6" s="11">
        <v>45000</v>
      </c>
      <c r="D6" s="6">
        <v>10</v>
      </c>
      <c r="F6" s="6" t="s">
        <v>89</v>
      </c>
      <c r="G6" s="6">
        <f>CORREL(B6:B17,C6:C17)</f>
        <v>0.99818923092077017</v>
      </c>
      <c r="H6" s="12">
        <f>CORREL(B6:B17,C6:C17)</f>
        <v>0.99818923092077017</v>
      </c>
      <c r="I6" s="6" t="str">
        <f>IF(H6&gt;0.7,"Strong Positive",IF(H6&gt;0.4,"Moderate Positive",IF(H6&gt;0,"Weak Positive",IF(H6&gt;-0.4,"Weak Negative",IF(H6&gt;-0.7,"Moderate Negative","Strong Negative")))))</f>
        <v>Strong Positive</v>
      </c>
    </row>
    <row r="7" spans="1:9" x14ac:dyDescent="0.3">
      <c r="A7" s="6" t="s">
        <v>50</v>
      </c>
      <c r="B7" s="11">
        <v>5500</v>
      </c>
      <c r="C7" s="11">
        <v>48000</v>
      </c>
      <c r="D7" s="6">
        <v>10</v>
      </c>
      <c r="F7" s="6" t="s">
        <v>90</v>
      </c>
      <c r="G7" s="6">
        <f>CORREL(D6:D17,C6:C17)</f>
        <v>0.9939316272389157</v>
      </c>
      <c r="H7" s="12">
        <f>CORREL(D6:D17,C6:C17)</f>
        <v>0.9939316272389157</v>
      </c>
      <c r="I7" s="6" t="str">
        <f>IF(H7&gt;0.7,"Strong Positive",IF(H7&gt;0.4,"Moderate Positive",IF(H7&gt;0,"Weak Positive",IF(H7&gt;-0.4,"Weak Negative",IF(H7&gt;-0.7,"Moderate Negative","Strong Negative")))))</f>
        <v>Strong Positive</v>
      </c>
    </row>
    <row r="8" spans="1:9" x14ac:dyDescent="0.3">
      <c r="A8" s="6" t="s">
        <v>51</v>
      </c>
      <c r="B8" s="11">
        <v>6000</v>
      </c>
      <c r="C8" s="11">
        <v>52000</v>
      </c>
      <c r="D8" s="6">
        <v>11</v>
      </c>
      <c r="F8" s="6" t="s">
        <v>91</v>
      </c>
      <c r="G8" s="6">
        <f>CORREL(B6:B17,D6:D17)</f>
        <v>0.99121881721387484</v>
      </c>
      <c r="H8" s="12">
        <f>CORREL(B6:B17,D6:D17)</f>
        <v>0.99121881721387484</v>
      </c>
      <c r="I8" s="6" t="str">
        <f>IF(H8&gt;0.7,"Strong Positive",IF(H8&gt;0.4,"Moderate Positive",IF(H8&gt;0,"Weak Positive",IF(H8&gt;-0.4,"Weak Negative",IF(H8&gt;-0.7,"Moderate Negative","Strong Negative")))))</f>
        <v>Strong Positive</v>
      </c>
    </row>
    <row r="9" spans="1:9" x14ac:dyDescent="0.3">
      <c r="A9" s="6" t="s">
        <v>52</v>
      </c>
      <c r="B9" s="11">
        <v>6500</v>
      </c>
      <c r="C9" s="11">
        <v>55000</v>
      </c>
      <c r="D9" s="6">
        <v>11</v>
      </c>
    </row>
    <row r="10" spans="1:9" x14ac:dyDescent="0.3">
      <c r="A10" s="6" t="s">
        <v>53</v>
      </c>
      <c r="B10" s="11">
        <v>7000</v>
      </c>
      <c r="C10" s="11">
        <v>59000</v>
      </c>
      <c r="D10" s="6">
        <v>12</v>
      </c>
    </row>
    <row r="11" spans="1:9" x14ac:dyDescent="0.3">
      <c r="A11" s="6" t="s">
        <v>54</v>
      </c>
      <c r="B11" s="11">
        <v>7500</v>
      </c>
      <c r="C11" s="11">
        <v>62000</v>
      </c>
      <c r="D11" s="6">
        <v>12</v>
      </c>
      <c r="F11" s="4" t="s">
        <v>92</v>
      </c>
    </row>
    <row r="12" spans="1:9" x14ac:dyDescent="0.3">
      <c r="A12" s="6" t="s">
        <v>55</v>
      </c>
      <c r="B12" s="11">
        <v>8000</v>
      </c>
      <c r="C12" s="11">
        <v>67000</v>
      </c>
      <c r="D12" s="6">
        <v>13</v>
      </c>
      <c r="F12" s="7"/>
      <c r="G12" s="7" t="s">
        <v>93</v>
      </c>
      <c r="H12" s="7" t="s">
        <v>94</v>
      </c>
      <c r="I12" s="7" t="s">
        <v>95</v>
      </c>
    </row>
    <row r="13" spans="1:9" x14ac:dyDescent="0.3">
      <c r="A13" s="6" t="s">
        <v>56</v>
      </c>
      <c r="B13" s="11">
        <v>8500</v>
      </c>
      <c r="C13" s="11">
        <v>70000</v>
      </c>
      <c r="D13" s="6">
        <v>13</v>
      </c>
      <c r="F13" s="6" t="s">
        <v>93</v>
      </c>
      <c r="G13" s="13">
        <f>CORREL($B$6:$B$17,B$6:B$17)</f>
        <v>1</v>
      </c>
      <c r="H13" s="13">
        <f>CORREL($B$6:$B$17,C$6:C$17)</f>
        <v>0.99818923092077017</v>
      </c>
      <c r="I13" s="13">
        <f>CORREL($B$6:$B$17,D$6:D$17)</f>
        <v>0.99121881721387484</v>
      </c>
    </row>
    <row r="14" spans="1:9" x14ac:dyDescent="0.3">
      <c r="A14" s="6" t="s">
        <v>57</v>
      </c>
      <c r="B14" s="11">
        <v>9000</v>
      </c>
      <c r="C14" s="11">
        <v>74000</v>
      </c>
      <c r="D14" s="6">
        <v>14</v>
      </c>
      <c r="F14" s="6" t="s">
        <v>94</v>
      </c>
      <c r="G14" s="13">
        <f>CORREL($C$6:$C$17,B$6:B$17)</f>
        <v>0.99818923092077017</v>
      </c>
      <c r="H14" s="13">
        <f>CORREL($C$6:$C$17,C$6:C$17)</f>
        <v>1.0000000000000002</v>
      </c>
      <c r="I14" s="13">
        <f>CORREL($C$6:$C$17,D$6:D$17)</f>
        <v>0.9939316272389157</v>
      </c>
    </row>
    <row r="15" spans="1:9" x14ac:dyDescent="0.3">
      <c r="A15" s="6" t="s">
        <v>58</v>
      </c>
      <c r="B15" s="11">
        <v>9500</v>
      </c>
      <c r="C15" s="11">
        <v>78000</v>
      </c>
      <c r="D15" s="6">
        <v>14</v>
      </c>
      <c r="F15" s="6" t="s">
        <v>95</v>
      </c>
      <c r="G15" s="13">
        <f>CORREL($D$6:$D$17,B$6:B$17)</f>
        <v>0.99121881721387484</v>
      </c>
      <c r="H15" s="13">
        <f>CORREL($D$6:$D$17,C$6:C$17)</f>
        <v>0.9939316272389157</v>
      </c>
      <c r="I15" s="13">
        <f>CORREL($D$6:$D$17,D$6:D$17)</f>
        <v>1</v>
      </c>
    </row>
    <row r="16" spans="1:9" x14ac:dyDescent="0.3">
      <c r="A16" s="6" t="s">
        <v>59</v>
      </c>
      <c r="B16" s="11">
        <v>10000</v>
      </c>
      <c r="C16" s="11">
        <v>83000</v>
      </c>
      <c r="D16" s="6">
        <v>15</v>
      </c>
    </row>
    <row r="17" spans="1:8" x14ac:dyDescent="0.3">
      <c r="A17" s="6" t="s">
        <v>60</v>
      </c>
      <c r="B17" s="11">
        <v>11000</v>
      </c>
      <c r="C17" s="11">
        <v>92000</v>
      </c>
      <c r="D17" s="6">
        <v>16</v>
      </c>
    </row>
    <row r="18" spans="1:8" x14ac:dyDescent="0.3">
      <c r="F18" s="4" t="s">
        <v>96</v>
      </c>
    </row>
    <row r="19" spans="1:8" x14ac:dyDescent="0.3">
      <c r="F19" t="s">
        <v>97</v>
      </c>
      <c r="G19">
        <f>_xlfn.COVARIANCE.S(B6:B17,C6:C17)</f>
        <v>27276515.15151516</v>
      </c>
      <c r="H19" s="14">
        <f>_xlfn.COVARIANCE.S(B6:B17,C6:C17)</f>
        <v>27276515.15151516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5C16-B78F-47EB-B4C0-D654F32F9D2F}">
  <sheetPr codeName="Sheet7"/>
  <dimension ref="A1:H20"/>
  <sheetViews>
    <sheetView workbookViewId="0"/>
  </sheetViews>
  <sheetFormatPr defaultRowHeight="14.4" x14ac:dyDescent="0.3"/>
  <cols>
    <col min="1" max="1" width="34" bestFit="1" customWidth="1"/>
    <col min="2" max="2" width="12" bestFit="1" customWidth="1"/>
    <col min="3" max="3" width="8" bestFit="1" customWidth="1"/>
    <col min="5" max="5" width="39.21875" bestFit="1" customWidth="1"/>
    <col min="6" max="6" width="18.77734375" customWidth="1"/>
    <col min="7" max="8" width="40.77734375" customWidth="1"/>
  </cols>
  <sheetData>
    <row r="1" spans="1:8" ht="21" x14ac:dyDescent="0.4">
      <c r="A1" s="1" t="s">
        <v>98</v>
      </c>
    </row>
    <row r="2" spans="1:8" x14ac:dyDescent="0.3">
      <c r="A2" s="3" t="s">
        <v>99</v>
      </c>
    </row>
    <row r="4" spans="1:8" x14ac:dyDescent="0.3">
      <c r="A4" s="4" t="s">
        <v>100</v>
      </c>
      <c r="E4" s="4" t="s">
        <v>104</v>
      </c>
    </row>
    <row r="5" spans="1:8" x14ac:dyDescent="0.3">
      <c r="A5" s="7" t="s">
        <v>101</v>
      </c>
      <c r="B5" s="7" t="s">
        <v>102</v>
      </c>
      <c r="C5" s="7" t="s">
        <v>103</v>
      </c>
      <c r="D5" t="s">
        <v>123</v>
      </c>
      <c r="E5" s="7" t="s">
        <v>105</v>
      </c>
      <c r="F5" s="7" t="s">
        <v>63</v>
      </c>
      <c r="G5" s="7" t="s">
        <v>106</v>
      </c>
      <c r="H5" s="7" t="s">
        <v>88</v>
      </c>
    </row>
    <row r="6" spans="1:8" x14ac:dyDescent="0.3">
      <c r="A6" s="6">
        <v>1</v>
      </c>
      <c r="B6" s="11">
        <v>1000</v>
      </c>
      <c r="C6" s="11">
        <v>15200</v>
      </c>
      <c r="D6" s="20">
        <f t="shared" ref="D6:D20" si="0">TREND($C$6:$C$20,$B$6:$B$20,B6)</f>
        <v>15013.333333333332</v>
      </c>
      <c r="E6" s="6" t="s">
        <v>107</v>
      </c>
      <c r="F6" s="6">
        <f>SLOPE(C6:C20,B6:B20)</f>
        <v>7.3771428571428572</v>
      </c>
      <c r="G6" s="15">
        <f>SLOPE(C6:C20,B6:B20)</f>
        <v>7.3771428571428572</v>
      </c>
      <c r="H6" s="6" t="s">
        <v>108</v>
      </c>
    </row>
    <row r="7" spans="1:8" x14ac:dyDescent="0.3">
      <c r="A7" s="6">
        <v>2</v>
      </c>
      <c r="B7" s="11">
        <v>1500</v>
      </c>
      <c r="C7" s="11">
        <v>18900</v>
      </c>
      <c r="D7" s="20">
        <f t="shared" si="0"/>
        <v>18701.904761904763</v>
      </c>
      <c r="E7" s="6" t="s">
        <v>109</v>
      </c>
      <c r="F7" s="6">
        <f>INTERCEPT(C6:C20,B6:B20)</f>
        <v>7636.1904761904807</v>
      </c>
      <c r="G7" s="15">
        <f>INTERCEPT(C6:C20,B6:B20)</f>
        <v>7636.1904761904807</v>
      </c>
      <c r="H7" s="6" t="s">
        <v>110</v>
      </c>
    </row>
    <row r="8" spans="1:8" x14ac:dyDescent="0.3">
      <c r="A8" s="6">
        <v>3</v>
      </c>
      <c r="B8" s="11">
        <v>2000</v>
      </c>
      <c r="C8" s="11">
        <v>22100</v>
      </c>
      <c r="D8" s="20">
        <f t="shared" si="0"/>
        <v>22390.476190476191</v>
      </c>
      <c r="E8" s="6" t="s">
        <v>111</v>
      </c>
      <c r="F8" s="6">
        <f>RSQ(C6:C20,B6:B20)</f>
        <v>0.99926639488519897</v>
      </c>
      <c r="G8" s="15">
        <f>RSQ(C6:C20,B6:B20)</f>
        <v>0.99926639488519897</v>
      </c>
      <c r="H8" s="6" t="s">
        <v>112</v>
      </c>
    </row>
    <row r="9" spans="1:8" x14ac:dyDescent="0.3">
      <c r="A9" s="6">
        <v>4</v>
      </c>
      <c r="B9" s="11">
        <v>2500</v>
      </c>
      <c r="C9" s="11">
        <v>26500</v>
      </c>
      <c r="D9" s="20">
        <f t="shared" si="0"/>
        <v>26079.047619047618</v>
      </c>
      <c r="E9" s="6" t="s">
        <v>113</v>
      </c>
      <c r="F9" s="6">
        <f>CORREL(B6:B20,C6:C20)</f>
        <v>0.99963313014585464</v>
      </c>
      <c r="G9" s="15">
        <f>CORREL(B6:B20,C6:C20)</f>
        <v>0.99963313014585464</v>
      </c>
      <c r="H9" s="6" t="s">
        <v>114</v>
      </c>
    </row>
    <row r="10" spans="1:8" x14ac:dyDescent="0.3">
      <c r="A10" s="6">
        <v>5</v>
      </c>
      <c r="B10" s="11">
        <v>3000</v>
      </c>
      <c r="C10" s="11">
        <v>29800</v>
      </c>
      <c r="D10" s="20">
        <f t="shared" si="0"/>
        <v>29767.61904761905</v>
      </c>
      <c r="E10" s="6" t="s">
        <v>115</v>
      </c>
      <c r="F10" s="6">
        <f>STEYX(C6:C20,B6:B20)</f>
        <v>463.82704873209195</v>
      </c>
      <c r="G10" s="15">
        <f>STEYX(C6:C20,B6:B20)</f>
        <v>463.82704873209195</v>
      </c>
      <c r="H10" s="6" t="s">
        <v>116</v>
      </c>
    </row>
    <row r="11" spans="1:8" x14ac:dyDescent="0.3">
      <c r="A11" s="6">
        <v>6</v>
      </c>
      <c r="B11" s="11">
        <v>3500</v>
      </c>
      <c r="C11" s="11">
        <v>33200</v>
      </c>
      <c r="D11" s="20">
        <f t="shared" si="0"/>
        <v>33456.190476190473</v>
      </c>
    </row>
    <row r="12" spans="1:8" x14ac:dyDescent="0.3">
      <c r="A12" s="6">
        <v>7</v>
      </c>
      <c r="B12" s="11">
        <v>4000</v>
      </c>
      <c r="C12" s="11">
        <v>37500</v>
      </c>
      <c r="D12" s="20">
        <f t="shared" si="0"/>
        <v>37144.761904761908</v>
      </c>
      <c r="E12" s="4" t="s">
        <v>117</v>
      </c>
    </row>
    <row r="13" spans="1:8" ht="15.6" x14ac:dyDescent="0.3">
      <c r="A13" s="6">
        <v>8</v>
      </c>
      <c r="B13" s="11">
        <v>4500</v>
      </c>
      <c r="C13" s="11">
        <v>40100</v>
      </c>
      <c r="D13" s="20">
        <f t="shared" si="0"/>
        <v>40833.333333333336</v>
      </c>
      <c r="E13" s="16" t="str">
        <f>"Sales = " &amp; TEXT(G7,"#,##0.00") &amp; " + " &amp; TEXT(G6,"0.0000") &amp; " × Ad Spend"</f>
        <v>Sales = 7636,190.48 + 0.0007 × Ad Spend</v>
      </c>
    </row>
    <row r="14" spans="1:8" x14ac:dyDescent="0.3">
      <c r="A14" s="6">
        <v>9</v>
      </c>
      <c r="B14" s="11">
        <v>5000</v>
      </c>
      <c r="C14" s="11">
        <v>44800</v>
      </c>
      <c r="D14" s="20">
        <f t="shared" si="0"/>
        <v>44521.904761904763</v>
      </c>
    </row>
    <row r="15" spans="1:8" x14ac:dyDescent="0.3">
      <c r="A15" s="6">
        <v>10</v>
      </c>
      <c r="B15" s="11">
        <v>5500</v>
      </c>
      <c r="C15" s="11">
        <v>47500</v>
      </c>
      <c r="D15" s="20">
        <f t="shared" si="0"/>
        <v>48210.476190476191</v>
      </c>
      <c r="E15" s="4" t="s">
        <v>118</v>
      </c>
    </row>
    <row r="16" spans="1:8" x14ac:dyDescent="0.3">
      <c r="A16" s="6">
        <v>11</v>
      </c>
      <c r="B16" s="11">
        <v>6000</v>
      </c>
      <c r="C16" s="11">
        <v>52300</v>
      </c>
      <c r="D16" s="20">
        <f t="shared" si="0"/>
        <v>51899.047619047626</v>
      </c>
      <c r="E16" s="7" t="s">
        <v>119</v>
      </c>
      <c r="F16" s="7">
        <v>5500</v>
      </c>
      <c r="G16" s="7"/>
    </row>
    <row r="17" spans="1:7" x14ac:dyDescent="0.3">
      <c r="A17" s="6">
        <v>12</v>
      </c>
      <c r="B17" s="11">
        <v>6500</v>
      </c>
      <c r="C17" s="11">
        <v>55100</v>
      </c>
      <c r="D17" s="20">
        <f t="shared" si="0"/>
        <v>55587.619047619053</v>
      </c>
      <c r="E17" s="6" t="s">
        <v>120</v>
      </c>
      <c r="F17" s="19">
        <f>$G$7+$G$6*F16</f>
        <v>48210.476190476198</v>
      </c>
      <c r="G17" s="6" t="e">
        <f>_xleta.INTERCEPT + _xleta.SLOPE * x</f>
        <v>#VALUE!</v>
      </c>
    </row>
    <row r="18" spans="1:7" x14ac:dyDescent="0.3">
      <c r="A18" s="6">
        <v>13</v>
      </c>
      <c r="B18" s="11">
        <v>7000</v>
      </c>
      <c r="C18" s="11">
        <v>59200</v>
      </c>
      <c r="D18" s="20">
        <f t="shared" si="0"/>
        <v>59276.190476190481</v>
      </c>
      <c r="E18" s="6" t="s">
        <v>121</v>
      </c>
      <c r="F18" s="19">
        <f>_xlfn.FORECAST.LINEAR(F16,C6:C20,B6:B20)</f>
        <v>48210.476190476198</v>
      </c>
      <c r="G18" s="6" t="e">
        <f>_xlfn.FORECAST.LINEAR(x, y_range, x_range)</f>
        <v>#NAME?</v>
      </c>
    </row>
    <row r="19" spans="1:7" x14ac:dyDescent="0.3">
      <c r="A19" s="6">
        <v>14</v>
      </c>
      <c r="B19" s="11">
        <v>7500</v>
      </c>
      <c r="C19" s="11">
        <v>62800</v>
      </c>
      <c r="D19" s="20">
        <f t="shared" si="0"/>
        <v>62964.761904761908</v>
      </c>
      <c r="E19" s="6" t="s">
        <v>122</v>
      </c>
      <c r="F19" s="19">
        <f>TREND(C6:C20,B6:B20,F16)</f>
        <v>48210.476190476191</v>
      </c>
      <c r="G19" s="6" t="e">
        <f>TREND(y_range, x_range, new_x)</f>
        <v>#NAME?</v>
      </c>
    </row>
    <row r="20" spans="1:7" x14ac:dyDescent="0.3">
      <c r="A20" s="6">
        <v>15</v>
      </c>
      <c r="B20" s="11">
        <v>8000</v>
      </c>
      <c r="C20" s="11">
        <v>67500</v>
      </c>
      <c r="D20" s="20">
        <f t="shared" si="0"/>
        <v>66653.333333333343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7AE3-1968-44D1-A903-8EE62908F5AD}">
  <sheetPr codeName="Sheet8"/>
  <dimension ref="A1:J26"/>
  <sheetViews>
    <sheetView workbookViewId="0"/>
  </sheetViews>
  <sheetFormatPr defaultRowHeight="14.4" x14ac:dyDescent="0.3"/>
  <cols>
    <col min="1" max="1" width="35.33203125" bestFit="1" customWidth="1"/>
    <col min="2" max="2" width="9.109375" bestFit="1" customWidth="1"/>
    <col min="3" max="3" width="5" bestFit="1" customWidth="1"/>
    <col min="4" max="4" width="5.109375" bestFit="1" customWidth="1"/>
    <col min="5" max="5" width="8" bestFit="1" customWidth="1"/>
    <col min="6" max="6" width="14.5546875" bestFit="1" customWidth="1"/>
    <col min="7" max="7" width="20.77734375" customWidth="1"/>
    <col min="8" max="8" width="15.77734375" customWidth="1"/>
    <col min="9" max="9" width="8" bestFit="1" customWidth="1"/>
    <col min="10" max="10" width="12.5546875" bestFit="1" customWidth="1"/>
  </cols>
  <sheetData>
    <row r="1" spans="1:10" ht="21" x14ac:dyDescent="0.4">
      <c r="A1" s="1" t="s">
        <v>124</v>
      </c>
    </row>
    <row r="2" spans="1:10" x14ac:dyDescent="0.3">
      <c r="A2" s="3" t="s">
        <v>125</v>
      </c>
    </row>
    <row r="4" spans="1:10" x14ac:dyDescent="0.3">
      <c r="A4" s="4" t="s">
        <v>100</v>
      </c>
      <c r="G4" s="4" t="s">
        <v>128</v>
      </c>
    </row>
    <row r="5" spans="1:10" x14ac:dyDescent="0.3">
      <c r="A5" s="7" t="s">
        <v>126</v>
      </c>
      <c r="B5" s="7" t="s">
        <v>93</v>
      </c>
      <c r="C5" s="7" t="s">
        <v>95</v>
      </c>
      <c r="D5" s="7" t="s">
        <v>127</v>
      </c>
      <c r="E5" s="7" t="s">
        <v>103</v>
      </c>
      <c r="G5" t="s">
        <v>129</v>
      </c>
    </row>
    <row r="6" spans="1:10" x14ac:dyDescent="0.3">
      <c r="A6" s="6">
        <v>1</v>
      </c>
      <c r="B6" s="11">
        <v>5000</v>
      </c>
      <c r="C6" s="6">
        <v>10</v>
      </c>
      <c r="D6" s="11">
        <v>50</v>
      </c>
      <c r="E6" s="11">
        <v>42000</v>
      </c>
      <c r="F6" s="7"/>
      <c r="G6" s="7" t="s">
        <v>130</v>
      </c>
      <c r="H6" s="7" t="s">
        <v>131</v>
      </c>
      <c r="I6" s="7" t="s">
        <v>132</v>
      </c>
      <c r="J6" s="7" t="s">
        <v>133</v>
      </c>
    </row>
    <row r="7" spans="1:10" x14ac:dyDescent="0.3">
      <c r="A7" s="6">
        <v>2</v>
      </c>
      <c r="B7" s="11">
        <v>5500</v>
      </c>
      <c r="C7" s="6">
        <v>10</v>
      </c>
      <c r="D7" s="11">
        <v>48</v>
      </c>
      <c r="E7" s="11">
        <v>46500</v>
      </c>
      <c r="F7" s="6" t="s">
        <v>134</v>
      </c>
      <c r="G7" s="9">
        <f t="array" ref="G7:J11">LINEST(E6:E20,B6:D20,TRUE,TRUE)</f>
        <v>-577.03742567331381</v>
      </c>
      <c r="H7" s="9">
        <v>1712.4587767950673</v>
      </c>
      <c r="I7" s="9">
        <v>5.9421813321341279</v>
      </c>
      <c r="J7" s="9">
        <v>23498.931944236403</v>
      </c>
    </row>
    <row r="8" spans="1:10" x14ac:dyDescent="0.3">
      <c r="A8" s="6">
        <v>3</v>
      </c>
      <c r="B8" s="11">
        <v>6000</v>
      </c>
      <c r="C8" s="6">
        <v>11</v>
      </c>
      <c r="D8" s="11">
        <v>52</v>
      </c>
      <c r="E8" s="11">
        <v>48000</v>
      </c>
      <c r="F8" s="6" t="s">
        <v>135</v>
      </c>
      <c r="G8" s="9">
        <v>91.930532669127246</v>
      </c>
      <c r="H8" s="9">
        <v>708.97316309787868</v>
      </c>
      <c r="I8" s="9">
        <v>0.70032528622747403</v>
      </c>
      <c r="J8" s="9">
        <v>7079.9416532216128</v>
      </c>
    </row>
    <row r="9" spans="1:10" x14ac:dyDescent="0.3">
      <c r="A9" s="6">
        <v>4</v>
      </c>
      <c r="B9" s="11">
        <v>6500</v>
      </c>
      <c r="C9" s="6">
        <v>11</v>
      </c>
      <c r="D9" s="11">
        <v>49</v>
      </c>
      <c r="E9" s="11">
        <v>52000</v>
      </c>
      <c r="F9" s="6" t="s">
        <v>136</v>
      </c>
      <c r="G9" s="9">
        <v>0.99911678254518688</v>
      </c>
      <c r="H9" s="9">
        <v>587.5134781492917</v>
      </c>
      <c r="I9" s="9" t="e">
        <v>#N/A</v>
      </c>
      <c r="J9" s="9" t="e">
        <v>#N/A</v>
      </c>
    </row>
    <row r="10" spans="1:10" x14ac:dyDescent="0.3">
      <c r="A10" s="6">
        <v>5</v>
      </c>
      <c r="B10" s="11">
        <v>7000</v>
      </c>
      <c r="C10" s="6">
        <v>12</v>
      </c>
      <c r="D10" s="11">
        <v>47</v>
      </c>
      <c r="E10" s="11">
        <v>58000</v>
      </c>
      <c r="F10" s="6" t="s">
        <v>137</v>
      </c>
      <c r="G10" s="9">
        <v>4147.8213351670174</v>
      </c>
      <c r="H10" s="9">
        <v>11</v>
      </c>
      <c r="I10" s="9" t="e">
        <v>#N/A</v>
      </c>
      <c r="J10" s="9" t="e">
        <v>#N/A</v>
      </c>
    </row>
    <row r="11" spans="1:10" x14ac:dyDescent="0.3">
      <c r="A11" s="6">
        <v>6</v>
      </c>
      <c r="B11" s="11">
        <v>7500</v>
      </c>
      <c r="C11" s="6">
        <v>12</v>
      </c>
      <c r="D11" s="11">
        <v>51</v>
      </c>
      <c r="E11" s="11">
        <v>59500</v>
      </c>
      <c r="F11" s="6" t="s">
        <v>138</v>
      </c>
      <c r="G11" s="9">
        <v>4295136440.376256</v>
      </c>
      <c r="H11" s="9">
        <v>3796892.9570778613</v>
      </c>
      <c r="I11" s="9" t="e">
        <v>#N/A</v>
      </c>
      <c r="J11" s="9" t="e">
        <v>#N/A</v>
      </c>
    </row>
    <row r="12" spans="1:10" x14ac:dyDescent="0.3">
      <c r="A12" s="6">
        <v>7</v>
      </c>
      <c r="B12" s="11">
        <v>8000</v>
      </c>
      <c r="C12" s="6">
        <v>13</v>
      </c>
      <c r="D12" s="11">
        <v>48</v>
      </c>
      <c r="E12" s="11">
        <v>65000</v>
      </c>
    </row>
    <row r="13" spans="1:10" x14ac:dyDescent="0.3">
      <c r="A13" s="6">
        <v>8</v>
      </c>
      <c r="B13" s="11">
        <v>8500</v>
      </c>
      <c r="C13" s="6">
        <v>13</v>
      </c>
      <c r="D13" s="11">
        <v>50</v>
      </c>
      <c r="E13" s="11">
        <v>67000</v>
      </c>
      <c r="G13" s="4" t="s">
        <v>139</v>
      </c>
    </row>
    <row r="14" spans="1:10" x14ac:dyDescent="0.3">
      <c r="A14" s="6">
        <v>9</v>
      </c>
      <c r="B14" s="11">
        <v>9000</v>
      </c>
      <c r="C14" s="6">
        <v>14</v>
      </c>
      <c r="D14" s="11">
        <v>46</v>
      </c>
      <c r="E14" s="11">
        <v>74000</v>
      </c>
      <c r="G14" t="str">
        <f>"Ad Spend coefficient: " &amp; TEXT(I7,"0.00") &amp; " (each $1 in ads increases sales by $" &amp; TEXT(I7,"0.00") &amp; ")"</f>
        <v>Ad Spend coefficient: 0.06 (each $1 in ads increases sales by $0.06)</v>
      </c>
    </row>
    <row r="15" spans="1:10" x14ac:dyDescent="0.3">
      <c r="A15" s="6">
        <v>10</v>
      </c>
      <c r="B15" s="11">
        <v>9500</v>
      </c>
      <c r="C15" s="6">
        <v>14</v>
      </c>
      <c r="D15" s="11">
        <v>49</v>
      </c>
      <c r="E15" s="11">
        <v>75500</v>
      </c>
      <c r="G15" t="str">
        <f>"Staff coefficient: " &amp; TEXT(H7,"#,##0") &amp; " (each additional staff member increases sales by $" &amp; TEXT(H7,"#,##0") &amp; ")"</f>
        <v>Staff coefficient: 1712,459 (each additional staff member increases sales by $1712,459)</v>
      </c>
    </row>
    <row r="16" spans="1:10" x14ac:dyDescent="0.3">
      <c r="A16" s="6">
        <v>11</v>
      </c>
      <c r="B16" s="11">
        <v>10000</v>
      </c>
      <c r="C16" s="6">
        <v>15</v>
      </c>
      <c r="D16" s="11">
        <v>47</v>
      </c>
      <c r="E16" s="11">
        <v>82000</v>
      </c>
      <c r="G16" t="str">
        <f>"Price coefficient: " &amp; TEXT(G7,"#,##0") &amp; " (each $1 price increase changes sales by $" &amp; TEXT(G7,"#,##0") &amp; ")"</f>
        <v>Price coefficient: -577,037 (each $1 price increase changes sales by $-577,037)</v>
      </c>
    </row>
    <row r="17" spans="1:8" x14ac:dyDescent="0.3">
      <c r="A17" s="6">
        <v>12</v>
      </c>
      <c r="B17" s="11">
        <v>10500</v>
      </c>
      <c r="C17" s="6">
        <v>15</v>
      </c>
      <c r="D17" s="11">
        <v>52</v>
      </c>
      <c r="E17" s="11">
        <v>81000</v>
      </c>
      <c r="G17" t="str">
        <f>"R-squared: " &amp; TEXT(G9,"0.0%") &amp; " of variance explained"</f>
        <v>R-squared: 10.0% of variance explained</v>
      </c>
    </row>
    <row r="18" spans="1:8" x14ac:dyDescent="0.3">
      <c r="A18" s="6">
        <v>13</v>
      </c>
      <c r="B18" s="11">
        <v>11000</v>
      </c>
      <c r="C18" s="6">
        <v>16</v>
      </c>
      <c r="D18" s="11">
        <v>48</v>
      </c>
      <c r="E18" s="11">
        <v>89000</v>
      </c>
    </row>
    <row r="19" spans="1:8" x14ac:dyDescent="0.3">
      <c r="A19" s="6">
        <v>14</v>
      </c>
      <c r="B19" s="11">
        <v>11500</v>
      </c>
      <c r="C19" s="6">
        <v>16</v>
      </c>
      <c r="D19" s="11">
        <v>50</v>
      </c>
      <c r="E19" s="11">
        <v>91000</v>
      </c>
    </row>
    <row r="20" spans="1:8" ht="15.6" x14ac:dyDescent="0.3">
      <c r="A20" s="6">
        <v>15</v>
      </c>
      <c r="B20" s="11">
        <v>12000</v>
      </c>
      <c r="C20" s="6">
        <v>17</v>
      </c>
      <c r="D20" s="11">
        <v>45</v>
      </c>
      <c r="E20" s="11">
        <v>98000</v>
      </c>
      <c r="G20" s="5" t="s">
        <v>140</v>
      </c>
    </row>
    <row r="21" spans="1:8" x14ac:dyDescent="0.3">
      <c r="G21" t="s">
        <v>141</v>
      </c>
      <c r="H21" s="17">
        <v>9000</v>
      </c>
    </row>
    <row r="22" spans="1:8" x14ac:dyDescent="0.3">
      <c r="G22" t="s">
        <v>142</v>
      </c>
      <c r="H22" s="17">
        <v>14</v>
      </c>
    </row>
    <row r="23" spans="1:8" x14ac:dyDescent="0.3">
      <c r="G23" t="s">
        <v>143</v>
      </c>
      <c r="H23" s="17">
        <v>48</v>
      </c>
    </row>
    <row r="25" spans="1:8" ht="18" x14ac:dyDescent="0.35">
      <c r="G25" t="s">
        <v>144</v>
      </c>
      <c r="H25" s="22">
        <f>J7 + I7*H21 + H7*H22 + G7*H23</f>
        <v>73255.190376255428</v>
      </c>
    </row>
    <row r="26" spans="1:8" x14ac:dyDescent="0.3">
      <c r="G26" t="s">
        <v>145</v>
      </c>
      <c r="H26" s="20" t="e">
        <f>TREND(E6:E20,B6:D20,H21:H23)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1D52-8134-4581-8750-AED5ECEA4113}">
  <sheetPr codeName="Sheet9"/>
  <dimension ref="A1:H29"/>
  <sheetViews>
    <sheetView workbookViewId="0"/>
  </sheetViews>
  <sheetFormatPr defaultRowHeight="14.4" x14ac:dyDescent="0.3"/>
  <cols>
    <col min="1" max="1" width="37.44140625" bestFit="1" customWidth="1"/>
    <col min="2" max="2" width="7.44140625" bestFit="1" customWidth="1"/>
    <col min="3" max="4" width="12.109375" bestFit="1" customWidth="1"/>
    <col min="5" max="5" width="13" bestFit="1" customWidth="1"/>
    <col min="7" max="7" width="35.77734375" customWidth="1"/>
    <col min="8" max="8" width="15.77734375" customWidth="1"/>
  </cols>
  <sheetData>
    <row r="1" spans="1:8" ht="21" x14ac:dyDescent="0.4">
      <c r="A1" s="1" t="s">
        <v>146</v>
      </c>
    </row>
    <row r="2" spans="1:8" x14ac:dyDescent="0.3">
      <c r="A2" s="3" t="s">
        <v>147</v>
      </c>
    </row>
    <row r="4" spans="1:8" x14ac:dyDescent="0.3">
      <c r="A4" s="4" t="s">
        <v>148</v>
      </c>
      <c r="G4" s="4" t="s">
        <v>152</v>
      </c>
    </row>
    <row r="5" spans="1:8" x14ac:dyDescent="0.3">
      <c r="A5" s="7" t="s">
        <v>47</v>
      </c>
      <c r="B5" s="7" t="s">
        <v>94</v>
      </c>
      <c r="C5" s="7" t="s">
        <v>149</v>
      </c>
      <c r="D5" s="7" t="s">
        <v>150</v>
      </c>
      <c r="E5" s="7" t="s">
        <v>151</v>
      </c>
    </row>
    <row r="6" spans="1:8" x14ac:dyDescent="0.3">
      <c r="A6" s="23">
        <v>45680</v>
      </c>
      <c r="B6" s="11">
        <v>45000</v>
      </c>
      <c r="C6" s="11"/>
      <c r="D6" s="11"/>
      <c r="E6" s="11"/>
      <c r="G6" t="s">
        <v>153</v>
      </c>
    </row>
    <row r="7" spans="1:8" x14ac:dyDescent="0.3">
      <c r="A7" s="23">
        <v>45711</v>
      </c>
      <c r="B7" s="11">
        <v>42000</v>
      </c>
      <c r="C7" s="11"/>
      <c r="D7" s="11"/>
      <c r="E7" s="11"/>
      <c r="G7" t="s">
        <v>154</v>
      </c>
      <c r="H7" s="20">
        <f>AVERAGE(B27:B29)</f>
        <v>72333.333333333328</v>
      </c>
    </row>
    <row r="8" spans="1:8" x14ac:dyDescent="0.3">
      <c r="A8" s="23">
        <v>45739</v>
      </c>
      <c r="B8" s="11">
        <v>48000</v>
      </c>
      <c r="C8" s="11">
        <f t="shared" ref="C8:C29" si="0">IF(ROW()-5&gt;=3,AVERAGE(B6:B8),"")</f>
        <v>45000</v>
      </c>
      <c r="D8" s="11"/>
      <c r="E8" s="11"/>
      <c r="G8" t="s">
        <v>155</v>
      </c>
      <c r="H8" s="20">
        <f>AVERAGE(B24:B29)</f>
        <v>65833.333333333328</v>
      </c>
    </row>
    <row r="9" spans="1:8" x14ac:dyDescent="0.3">
      <c r="A9" s="23">
        <v>45770</v>
      </c>
      <c r="B9" s="11">
        <v>52000</v>
      </c>
      <c r="C9" s="11">
        <f t="shared" si="0"/>
        <v>47333.333333333336</v>
      </c>
      <c r="D9" s="11"/>
      <c r="E9" s="11"/>
      <c r="G9" t="s">
        <v>156</v>
      </c>
      <c r="H9" s="20">
        <f>AVERAGE(B18:B29)</f>
        <v>61333.333333333336</v>
      </c>
    </row>
    <row r="10" spans="1:8" x14ac:dyDescent="0.3">
      <c r="A10" s="23">
        <v>45800</v>
      </c>
      <c r="B10" s="11">
        <v>58000</v>
      </c>
      <c r="C10" s="11">
        <f t="shared" si="0"/>
        <v>52666.666666666664</v>
      </c>
      <c r="D10" s="11"/>
      <c r="E10" s="11"/>
    </row>
    <row r="11" spans="1:8" x14ac:dyDescent="0.3">
      <c r="A11" s="23">
        <v>45831</v>
      </c>
      <c r="B11" s="11">
        <v>62000</v>
      </c>
      <c r="C11" s="11">
        <f t="shared" si="0"/>
        <v>57333.333333333336</v>
      </c>
      <c r="D11" s="11">
        <f t="shared" ref="D11:D29" si="1">IF(ROW()-5&gt;=6,AVERAGE(B6:B11),"")</f>
        <v>51166.666666666664</v>
      </c>
      <c r="E11" s="11"/>
    </row>
    <row r="12" spans="1:8" x14ac:dyDescent="0.3">
      <c r="A12" s="23">
        <v>45861</v>
      </c>
      <c r="B12" s="11">
        <v>55000</v>
      </c>
      <c r="C12" s="11">
        <f t="shared" si="0"/>
        <v>58333.333333333336</v>
      </c>
      <c r="D12" s="11">
        <f t="shared" si="1"/>
        <v>52833.333333333336</v>
      </c>
      <c r="E12" s="11"/>
      <c r="G12" s="4" t="s">
        <v>157</v>
      </c>
    </row>
    <row r="13" spans="1:8" x14ac:dyDescent="0.3">
      <c r="A13" s="23">
        <v>45892</v>
      </c>
      <c r="B13" s="11">
        <v>51000</v>
      </c>
      <c r="C13" s="11">
        <f t="shared" si="0"/>
        <v>56000</v>
      </c>
      <c r="D13" s="11">
        <f t="shared" si="1"/>
        <v>54333.333333333336</v>
      </c>
      <c r="E13" s="11"/>
      <c r="G13" t="s">
        <v>158</v>
      </c>
    </row>
    <row r="14" spans="1:8" x14ac:dyDescent="0.3">
      <c r="A14" s="23">
        <v>45923</v>
      </c>
      <c r="B14" s="11">
        <v>54000</v>
      </c>
      <c r="C14" s="11">
        <f t="shared" si="0"/>
        <v>53333.333333333336</v>
      </c>
      <c r="D14" s="11">
        <f t="shared" si="1"/>
        <v>55333.333333333336</v>
      </c>
      <c r="E14" s="11"/>
      <c r="G14" t="s">
        <v>159</v>
      </c>
    </row>
    <row r="15" spans="1:8" x14ac:dyDescent="0.3">
      <c r="A15" s="23">
        <v>45953</v>
      </c>
      <c r="B15" s="11">
        <v>58000</v>
      </c>
      <c r="C15" s="11">
        <f t="shared" si="0"/>
        <v>54333.333333333336</v>
      </c>
      <c r="D15" s="11">
        <f t="shared" si="1"/>
        <v>56333.333333333336</v>
      </c>
      <c r="E15" s="11"/>
      <c r="G15" t="s">
        <v>160</v>
      </c>
      <c r="H15" s="24" t="e">
        <f>SUMPRODUCT(B27:B29,{0.2,0.3,0.5})</f>
        <v>#VALUE!</v>
      </c>
    </row>
    <row r="16" spans="1:8" x14ac:dyDescent="0.3">
      <c r="A16" s="23">
        <v>45984</v>
      </c>
      <c r="B16" s="11">
        <v>65000</v>
      </c>
      <c r="C16" s="11">
        <f t="shared" si="0"/>
        <v>59000</v>
      </c>
      <c r="D16" s="11">
        <f t="shared" si="1"/>
        <v>57500</v>
      </c>
      <c r="E16" s="11"/>
    </row>
    <row r="17" spans="1:8" x14ac:dyDescent="0.3">
      <c r="A17" s="23">
        <v>46014</v>
      </c>
      <c r="B17" s="11">
        <v>72000</v>
      </c>
      <c r="C17" s="11">
        <f t="shared" si="0"/>
        <v>65000</v>
      </c>
      <c r="D17" s="11">
        <f t="shared" si="1"/>
        <v>59166.666666666664</v>
      </c>
      <c r="E17" s="11">
        <f t="shared" ref="E17:E29" si="2">IF(ROW()-5&gt;=12,AVERAGE(B6:B17),"")</f>
        <v>55166.666666666664</v>
      </c>
    </row>
    <row r="18" spans="1:8" x14ac:dyDescent="0.3">
      <c r="A18" s="23">
        <v>45681</v>
      </c>
      <c r="B18" s="11">
        <v>50000</v>
      </c>
      <c r="C18" s="11">
        <f t="shared" si="0"/>
        <v>62333.333333333336</v>
      </c>
      <c r="D18" s="11">
        <f t="shared" si="1"/>
        <v>58333.333333333336</v>
      </c>
      <c r="E18" s="11">
        <f t="shared" si="2"/>
        <v>55583.333333333336</v>
      </c>
      <c r="G18" s="4" t="s">
        <v>161</v>
      </c>
    </row>
    <row r="19" spans="1:8" x14ac:dyDescent="0.3">
      <c r="A19" s="23">
        <v>45712</v>
      </c>
      <c r="B19" s="11">
        <v>47000</v>
      </c>
      <c r="C19" s="11">
        <f t="shared" si="0"/>
        <v>56333.333333333336</v>
      </c>
      <c r="D19" s="11">
        <f t="shared" si="1"/>
        <v>57666.666666666664</v>
      </c>
      <c r="E19" s="11">
        <f t="shared" si="2"/>
        <v>56000</v>
      </c>
      <c r="G19" t="s">
        <v>162</v>
      </c>
      <c r="H19" s="17">
        <v>4</v>
      </c>
    </row>
    <row r="20" spans="1:8" x14ac:dyDescent="0.3">
      <c r="A20" s="23">
        <v>45740</v>
      </c>
      <c r="B20" s="11">
        <v>53000</v>
      </c>
      <c r="C20" s="11">
        <f t="shared" si="0"/>
        <v>50000</v>
      </c>
      <c r="D20" s="11">
        <f t="shared" si="1"/>
        <v>57500</v>
      </c>
      <c r="E20" s="11">
        <f t="shared" si="2"/>
        <v>56416.666666666664</v>
      </c>
      <c r="G20" t="s">
        <v>163</v>
      </c>
      <c r="H20" s="20">
        <f ca="1">AVERAGE(OFFSET(B29,1-H19,0,H19,1))</f>
        <v>69250</v>
      </c>
    </row>
    <row r="21" spans="1:8" x14ac:dyDescent="0.3">
      <c r="A21" s="23">
        <v>45771</v>
      </c>
      <c r="B21" s="11">
        <v>58000</v>
      </c>
      <c r="C21" s="11">
        <f t="shared" si="0"/>
        <v>52666.666666666664</v>
      </c>
      <c r="D21" s="11">
        <f t="shared" si="1"/>
        <v>57500</v>
      </c>
      <c r="E21" s="11">
        <f t="shared" si="2"/>
        <v>56916.666666666664</v>
      </c>
    </row>
    <row r="22" spans="1:8" x14ac:dyDescent="0.3">
      <c r="A22" s="23">
        <v>45801</v>
      </c>
      <c r="B22" s="11">
        <v>64000</v>
      </c>
      <c r="C22" s="11">
        <f t="shared" si="0"/>
        <v>58333.333333333336</v>
      </c>
      <c r="D22" s="11">
        <f t="shared" si="1"/>
        <v>57333.333333333336</v>
      </c>
      <c r="E22" s="11">
        <f t="shared" si="2"/>
        <v>57416.666666666664</v>
      </c>
    </row>
    <row r="23" spans="1:8" x14ac:dyDescent="0.3">
      <c r="A23" s="23">
        <v>45832</v>
      </c>
      <c r="B23" s="11">
        <v>69000</v>
      </c>
      <c r="C23" s="11">
        <f t="shared" si="0"/>
        <v>63666.666666666664</v>
      </c>
      <c r="D23" s="11">
        <f t="shared" si="1"/>
        <v>56833.333333333336</v>
      </c>
      <c r="E23" s="11">
        <f t="shared" si="2"/>
        <v>58000</v>
      </c>
    </row>
    <row r="24" spans="1:8" x14ac:dyDescent="0.3">
      <c r="A24" s="23">
        <v>45862</v>
      </c>
      <c r="B24" s="11">
        <v>61000</v>
      </c>
      <c r="C24" s="11">
        <f t="shared" si="0"/>
        <v>64666.666666666664</v>
      </c>
      <c r="D24" s="11">
        <f t="shared" si="1"/>
        <v>58666.666666666664</v>
      </c>
      <c r="E24" s="11">
        <f t="shared" si="2"/>
        <v>58500</v>
      </c>
    </row>
    <row r="25" spans="1:8" x14ac:dyDescent="0.3">
      <c r="A25" s="23">
        <v>45893</v>
      </c>
      <c r="B25" s="11">
        <v>57000</v>
      </c>
      <c r="C25" s="11">
        <f t="shared" si="0"/>
        <v>62333.333333333336</v>
      </c>
      <c r="D25" s="11">
        <f t="shared" si="1"/>
        <v>60333.333333333336</v>
      </c>
      <c r="E25" s="11">
        <f t="shared" si="2"/>
        <v>59000</v>
      </c>
    </row>
    <row r="26" spans="1:8" x14ac:dyDescent="0.3">
      <c r="A26" s="23">
        <v>45924</v>
      </c>
      <c r="B26" s="11">
        <v>60000</v>
      </c>
      <c r="C26" s="11">
        <f t="shared" si="0"/>
        <v>59333.333333333336</v>
      </c>
      <c r="D26" s="11">
        <f t="shared" si="1"/>
        <v>61500</v>
      </c>
      <c r="E26" s="11">
        <f t="shared" si="2"/>
        <v>59500</v>
      </c>
    </row>
    <row r="27" spans="1:8" x14ac:dyDescent="0.3">
      <c r="A27" s="23">
        <v>45954</v>
      </c>
      <c r="B27" s="11">
        <v>65000</v>
      </c>
      <c r="C27" s="11">
        <f t="shared" si="0"/>
        <v>60666.666666666664</v>
      </c>
      <c r="D27" s="11">
        <f t="shared" si="1"/>
        <v>62666.666666666664</v>
      </c>
      <c r="E27" s="11">
        <f t="shared" si="2"/>
        <v>60083.333333333336</v>
      </c>
    </row>
    <row r="28" spans="1:8" x14ac:dyDescent="0.3">
      <c r="A28" s="23">
        <v>45985</v>
      </c>
      <c r="B28" s="11">
        <v>72000</v>
      </c>
      <c r="C28" s="11">
        <f t="shared" si="0"/>
        <v>65666.666666666672</v>
      </c>
      <c r="D28" s="11">
        <f t="shared" si="1"/>
        <v>64000</v>
      </c>
      <c r="E28" s="11">
        <f t="shared" si="2"/>
        <v>60666.666666666664</v>
      </c>
    </row>
    <row r="29" spans="1:8" x14ac:dyDescent="0.3">
      <c r="A29" s="23">
        <v>46015</v>
      </c>
      <c r="B29" s="11">
        <v>80000</v>
      </c>
      <c r="C29" s="11">
        <f t="shared" si="0"/>
        <v>72333.333333333328</v>
      </c>
      <c r="D29" s="11">
        <f t="shared" si="1"/>
        <v>65833.333333333328</v>
      </c>
      <c r="E29" s="11">
        <f t="shared" si="2"/>
        <v>61333.333333333336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BCDD4-58E4-4FF5-B325-A1F4CBA1AD8B}">
  <sheetPr codeName="Sheet10"/>
  <dimension ref="A1:J22"/>
  <sheetViews>
    <sheetView workbookViewId="0"/>
  </sheetViews>
  <sheetFormatPr defaultRowHeight="14.4" x14ac:dyDescent="0.3"/>
  <cols>
    <col min="1" max="1" width="30.6640625" bestFit="1" customWidth="1"/>
    <col min="2" max="2" width="6.33203125" bestFit="1" customWidth="1"/>
    <col min="3" max="3" width="23.5546875" bestFit="1" customWidth="1"/>
    <col min="4" max="6" width="12" bestFit="1" customWidth="1"/>
    <col min="8" max="8" width="30.77734375" customWidth="1"/>
    <col min="9" max="9" width="12.77734375" customWidth="1"/>
    <col min="10" max="10" width="30.77734375" customWidth="1"/>
  </cols>
  <sheetData>
    <row r="1" spans="1:10" ht="21" x14ac:dyDescent="0.4">
      <c r="A1" s="1" t="s">
        <v>164</v>
      </c>
    </row>
    <row r="2" spans="1:10" x14ac:dyDescent="0.3">
      <c r="A2" s="3" t="s">
        <v>165</v>
      </c>
    </row>
    <row r="4" spans="1:10" x14ac:dyDescent="0.3">
      <c r="A4" t="s">
        <v>166</v>
      </c>
      <c r="B4" s="25">
        <v>0.3</v>
      </c>
      <c r="C4" s="2" t="s">
        <v>167</v>
      </c>
    </row>
    <row r="6" spans="1:10" x14ac:dyDescent="0.3">
      <c r="A6" s="7" t="s">
        <v>168</v>
      </c>
      <c r="B6" s="7" t="s">
        <v>169</v>
      </c>
      <c r="C6" s="7" t="s">
        <v>170</v>
      </c>
      <c r="D6" s="7" t="s">
        <v>171</v>
      </c>
      <c r="E6" s="7" t="s">
        <v>172</v>
      </c>
      <c r="F6" s="7" t="s">
        <v>173</v>
      </c>
      <c r="H6" s="4" t="s">
        <v>175</v>
      </c>
    </row>
    <row r="7" spans="1:10" x14ac:dyDescent="0.3">
      <c r="A7" s="6">
        <v>1</v>
      </c>
      <c r="B7" s="6">
        <v>100</v>
      </c>
      <c r="C7" s="13">
        <f>B7</f>
        <v>100</v>
      </c>
      <c r="D7" s="6">
        <f t="shared" ref="D7:D18" si="0">B7-C7</f>
        <v>0</v>
      </c>
      <c r="E7" s="6">
        <f t="shared" ref="E7:E18" si="1">ABS(D7)</f>
        <v>0</v>
      </c>
      <c r="F7" s="6">
        <f t="shared" ref="F7:F18" si="2">D7^2</f>
        <v>0</v>
      </c>
      <c r="H7" t="s">
        <v>176</v>
      </c>
      <c r="I7" s="26">
        <f>AVERAGE(E8:E18)</f>
        <v>16.425926760727283</v>
      </c>
    </row>
    <row r="8" spans="1:10" x14ac:dyDescent="0.3">
      <c r="A8" s="6">
        <v>2</v>
      </c>
      <c r="B8" s="6">
        <v>120</v>
      </c>
      <c r="C8" s="13">
        <f t="shared" ref="C8:C18" si="3">$B$4*B7+(1-$B$4)*C7</f>
        <v>100</v>
      </c>
      <c r="D8" s="6">
        <f t="shared" si="0"/>
        <v>20</v>
      </c>
      <c r="E8" s="6">
        <f t="shared" si="1"/>
        <v>20</v>
      </c>
      <c r="F8" s="6">
        <f t="shared" si="2"/>
        <v>400</v>
      </c>
      <c r="H8" t="s">
        <v>177</v>
      </c>
      <c r="I8" s="26">
        <f>AVERAGE(F8:F18)</f>
        <v>313.83534423419383</v>
      </c>
    </row>
    <row r="9" spans="1:10" x14ac:dyDescent="0.3">
      <c r="A9" s="6">
        <v>3</v>
      </c>
      <c r="B9" s="6">
        <v>110</v>
      </c>
      <c r="C9" s="13">
        <f t="shared" si="3"/>
        <v>106</v>
      </c>
      <c r="D9" s="6">
        <f t="shared" si="0"/>
        <v>4</v>
      </c>
      <c r="E9" s="6">
        <f t="shared" si="1"/>
        <v>4</v>
      </c>
      <c r="F9" s="6">
        <f t="shared" si="2"/>
        <v>16</v>
      </c>
      <c r="H9" t="s">
        <v>178</v>
      </c>
      <c r="I9" s="26">
        <f>SQRT(I8)</f>
        <v>17.715398506220339</v>
      </c>
    </row>
    <row r="10" spans="1:10" x14ac:dyDescent="0.3">
      <c r="A10" s="6">
        <v>4</v>
      </c>
      <c r="B10" s="6">
        <v>130</v>
      </c>
      <c r="C10" s="13">
        <f t="shared" si="3"/>
        <v>107.19999999999999</v>
      </c>
      <c r="D10" s="6">
        <f t="shared" si="0"/>
        <v>22.800000000000011</v>
      </c>
      <c r="E10" s="6">
        <f t="shared" si="1"/>
        <v>22.800000000000011</v>
      </c>
      <c r="F10" s="6">
        <f t="shared" si="2"/>
        <v>519.84000000000049</v>
      </c>
    </row>
    <row r="11" spans="1:10" x14ac:dyDescent="0.3">
      <c r="A11" s="6">
        <v>5</v>
      </c>
      <c r="B11" s="6">
        <v>125</v>
      </c>
      <c r="C11" s="13">
        <f t="shared" si="3"/>
        <v>114.03999999999999</v>
      </c>
      <c r="D11" s="6">
        <f t="shared" si="0"/>
        <v>10.960000000000008</v>
      </c>
      <c r="E11" s="6">
        <f t="shared" si="1"/>
        <v>10.960000000000008</v>
      </c>
      <c r="F11" s="6">
        <f t="shared" si="2"/>
        <v>120.12160000000017</v>
      </c>
    </row>
    <row r="12" spans="1:10" x14ac:dyDescent="0.3">
      <c r="A12" s="6">
        <v>6</v>
      </c>
      <c r="B12" s="6">
        <v>140</v>
      </c>
      <c r="C12" s="13">
        <f t="shared" si="3"/>
        <v>117.32799999999999</v>
      </c>
      <c r="D12" s="6">
        <f t="shared" si="0"/>
        <v>22.672000000000011</v>
      </c>
      <c r="E12" s="6">
        <f t="shared" si="1"/>
        <v>22.672000000000011</v>
      </c>
      <c r="F12" s="6">
        <f t="shared" si="2"/>
        <v>514.01958400000046</v>
      </c>
      <c r="H12" s="4" t="s">
        <v>179</v>
      </c>
    </row>
    <row r="13" spans="1:10" x14ac:dyDescent="0.3">
      <c r="A13" s="6">
        <v>7</v>
      </c>
      <c r="B13" s="6">
        <v>135</v>
      </c>
      <c r="C13" s="13">
        <f t="shared" si="3"/>
        <v>124.12959999999998</v>
      </c>
      <c r="D13" s="6">
        <f t="shared" si="0"/>
        <v>10.870400000000018</v>
      </c>
      <c r="E13" s="6">
        <f t="shared" si="1"/>
        <v>10.870400000000018</v>
      </c>
      <c r="F13" s="6">
        <f t="shared" si="2"/>
        <v>118.16559616000039</v>
      </c>
      <c r="H13" s="7" t="s">
        <v>180</v>
      </c>
      <c r="I13" s="7" t="s">
        <v>181</v>
      </c>
      <c r="J13" s="7" t="s">
        <v>182</v>
      </c>
    </row>
    <row r="14" spans="1:10" x14ac:dyDescent="0.3">
      <c r="A14" s="6">
        <v>8</v>
      </c>
      <c r="B14" s="6">
        <v>150</v>
      </c>
      <c r="C14" s="13">
        <f t="shared" si="3"/>
        <v>127.39071999999999</v>
      </c>
      <c r="D14" s="6">
        <f t="shared" si="0"/>
        <v>22.609280000000012</v>
      </c>
      <c r="E14" s="6">
        <f t="shared" si="1"/>
        <v>22.609280000000012</v>
      </c>
      <c r="F14" s="6">
        <f t="shared" si="2"/>
        <v>511.17954211840055</v>
      </c>
      <c r="H14" s="6">
        <v>0.1</v>
      </c>
      <c r="I14" s="6"/>
      <c r="J14" s="6" t="s">
        <v>183</v>
      </c>
    </row>
    <row r="15" spans="1:10" x14ac:dyDescent="0.3">
      <c r="A15" s="6">
        <v>9</v>
      </c>
      <c r="B15" s="6">
        <v>145</v>
      </c>
      <c r="C15" s="13">
        <f t="shared" si="3"/>
        <v>134.17350399999998</v>
      </c>
      <c r="D15" s="6">
        <f t="shared" si="0"/>
        <v>10.82649600000002</v>
      </c>
      <c r="E15" s="6">
        <f t="shared" si="1"/>
        <v>10.82649600000002</v>
      </c>
      <c r="F15" s="6">
        <f t="shared" si="2"/>
        <v>117.21301563801643</v>
      </c>
      <c r="H15" s="6">
        <v>0.3</v>
      </c>
      <c r="I15" s="6"/>
      <c r="J15" s="6" t="s">
        <v>184</v>
      </c>
    </row>
    <row r="16" spans="1:10" x14ac:dyDescent="0.3">
      <c r="A16" s="6">
        <v>10</v>
      </c>
      <c r="B16" s="6">
        <v>160</v>
      </c>
      <c r="C16" s="13">
        <f t="shared" si="3"/>
        <v>137.4214528</v>
      </c>
      <c r="D16" s="6">
        <f t="shared" si="0"/>
        <v>22.578547200000003</v>
      </c>
      <c r="E16" s="6">
        <f t="shared" si="1"/>
        <v>22.578547200000003</v>
      </c>
      <c r="F16" s="6">
        <f t="shared" si="2"/>
        <v>509.79079366262795</v>
      </c>
      <c r="H16" s="6">
        <v>0.5</v>
      </c>
      <c r="I16" s="6"/>
      <c r="J16" s="6" t="s">
        <v>185</v>
      </c>
    </row>
    <row r="17" spans="1:10" x14ac:dyDescent="0.3">
      <c r="A17" s="6">
        <v>11</v>
      </c>
      <c r="B17" s="6">
        <v>155</v>
      </c>
      <c r="C17" s="13">
        <f t="shared" si="3"/>
        <v>144.19501695999998</v>
      </c>
      <c r="D17" s="6">
        <f t="shared" si="0"/>
        <v>10.804983040000025</v>
      </c>
      <c r="E17" s="6">
        <f t="shared" si="1"/>
        <v>10.804983040000025</v>
      </c>
      <c r="F17" s="6">
        <f t="shared" si="2"/>
        <v>116.74765849468817</v>
      </c>
      <c r="H17" s="6">
        <v>0.7</v>
      </c>
      <c r="I17" s="6"/>
      <c r="J17" s="6" t="s">
        <v>186</v>
      </c>
    </row>
    <row r="18" spans="1:10" x14ac:dyDescent="0.3">
      <c r="A18" s="6">
        <v>12</v>
      </c>
      <c r="B18" s="6">
        <v>170</v>
      </c>
      <c r="C18" s="13">
        <f t="shared" si="3"/>
        <v>147.43651187199998</v>
      </c>
      <c r="D18" s="6">
        <f t="shared" si="0"/>
        <v>22.563488128000017</v>
      </c>
      <c r="E18" s="6">
        <f t="shared" si="1"/>
        <v>22.563488128000017</v>
      </c>
      <c r="F18" s="6">
        <f t="shared" si="2"/>
        <v>509.11099650239771</v>
      </c>
      <c r="H18" s="6">
        <v>0.9</v>
      </c>
      <c r="I18" s="6"/>
      <c r="J18" s="6" t="s">
        <v>187</v>
      </c>
    </row>
    <row r="19" spans="1:10" x14ac:dyDescent="0.3">
      <c r="C19" s="4" t="s">
        <v>174</v>
      </c>
      <c r="D19" s="27">
        <f>$B$4*B18+(1-$B$4)*C18</f>
        <v>154.20555831039997</v>
      </c>
    </row>
    <row r="21" spans="1:10" x14ac:dyDescent="0.3">
      <c r="H21" s="2" t="s">
        <v>188</v>
      </c>
    </row>
    <row r="22" spans="1:10" x14ac:dyDescent="0.3">
      <c r="H22" s="2" t="s">
        <v>189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7B0F-8A5C-4F12-B242-5746636BEDAA}">
  <sheetPr codeName="Sheet11"/>
  <dimension ref="A1:H49"/>
  <sheetViews>
    <sheetView topLeftCell="A30" workbookViewId="0"/>
  </sheetViews>
  <sheetFormatPr defaultRowHeight="14.4" x14ac:dyDescent="0.3"/>
  <cols>
    <col min="1" max="1" width="49.6640625" bestFit="1" customWidth="1"/>
    <col min="2" max="2" width="12" bestFit="1" customWidth="1"/>
    <col min="4" max="4" width="24.88671875" bestFit="1" customWidth="1"/>
    <col min="5" max="5" width="15.5546875" bestFit="1" customWidth="1"/>
    <col min="6" max="6" width="32.88671875" bestFit="1" customWidth="1"/>
    <col min="7" max="7" width="10.109375" bestFit="1" customWidth="1"/>
    <col min="8" max="8" width="11.88671875" bestFit="1" customWidth="1"/>
  </cols>
  <sheetData>
    <row r="1" spans="1:8" ht="21" x14ac:dyDescent="0.4">
      <c r="A1" s="1" t="s">
        <v>190</v>
      </c>
    </row>
    <row r="2" spans="1:8" x14ac:dyDescent="0.3">
      <c r="A2" s="3" t="s">
        <v>191</v>
      </c>
    </row>
    <row r="4" spans="1:8" x14ac:dyDescent="0.3">
      <c r="A4" s="4" t="s">
        <v>192</v>
      </c>
      <c r="D4" s="4" t="s">
        <v>195</v>
      </c>
    </row>
    <row r="5" spans="1:8" x14ac:dyDescent="0.3">
      <c r="A5" s="7" t="s">
        <v>193</v>
      </c>
      <c r="B5" s="7" t="s">
        <v>94</v>
      </c>
      <c r="D5" s="7" t="s">
        <v>3</v>
      </c>
      <c r="E5" s="7" t="s">
        <v>196</v>
      </c>
      <c r="F5" s="7" t="s">
        <v>197</v>
      </c>
    </row>
    <row r="6" spans="1:8" x14ac:dyDescent="0.3">
      <c r="A6" s="29">
        <v>44562</v>
      </c>
      <c r="B6" s="11">
        <v>45411.095031738281</v>
      </c>
      <c r="D6" s="6" t="s">
        <v>30</v>
      </c>
      <c r="E6" s="6">
        <f>_xlfn.FORECAST.ETS(A44,$B$6:$B$41,$A$6:$A$41)</f>
        <v>64830.743266672449</v>
      </c>
      <c r="F6" s="6" t="s">
        <v>198</v>
      </c>
    </row>
    <row r="7" spans="1:8" x14ac:dyDescent="0.3">
      <c r="A7" s="29">
        <v>44593</v>
      </c>
      <c r="B7" s="11">
        <v>42066.848037719727</v>
      </c>
      <c r="D7" s="6" t="s">
        <v>32</v>
      </c>
      <c r="E7" s="6">
        <f>_xlfn.FORECAST.ETS.CONFINT(A44,$B$6:$B$41,$A$6:$A$41,0.95)</f>
        <v>7648.985249113668</v>
      </c>
      <c r="F7" s="6" t="s">
        <v>199</v>
      </c>
    </row>
    <row r="8" spans="1:8" x14ac:dyDescent="0.3">
      <c r="A8" s="29">
        <v>44621</v>
      </c>
      <c r="B8" s="11">
        <v>48159.037231445313</v>
      </c>
      <c r="D8" s="6" t="s">
        <v>34</v>
      </c>
      <c r="E8" s="6">
        <f>_xlfn.FORECAST.ETS.SEASONALITY($B$6:$B$41,$A$6:$A$41)</f>
        <v>6</v>
      </c>
      <c r="F8" s="6" t="s">
        <v>200</v>
      </c>
    </row>
    <row r="9" spans="1:8" x14ac:dyDescent="0.3">
      <c r="A9" s="29">
        <v>44652</v>
      </c>
      <c r="B9" s="11">
        <v>54579.124938964844</v>
      </c>
      <c r="D9" s="6" t="s">
        <v>201</v>
      </c>
      <c r="E9" s="6">
        <f>_xlfn.FORECAST.ETS.STAT($B$6:$B$41,$A$6:$A$41,1)</f>
        <v>2E-3</v>
      </c>
      <c r="F9" s="6" t="s">
        <v>202</v>
      </c>
    </row>
    <row r="10" spans="1:8" x14ac:dyDescent="0.3">
      <c r="A10" s="29">
        <v>44682</v>
      </c>
      <c r="B10" s="11">
        <v>61603.896026611328</v>
      </c>
    </row>
    <row r="11" spans="1:8" x14ac:dyDescent="0.3">
      <c r="A11" s="29">
        <v>44713</v>
      </c>
      <c r="B11" s="11">
        <v>68549.480224609375</v>
      </c>
    </row>
    <row r="12" spans="1:8" x14ac:dyDescent="0.3">
      <c r="A12" s="29">
        <v>44743</v>
      </c>
      <c r="B12" s="11">
        <v>51028.035278320313</v>
      </c>
      <c r="D12" s="4" t="s">
        <v>203</v>
      </c>
    </row>
    <row r="13" spans="1:8" x14ac:dyDescent="0.3">
      <c r="A13" s="29">
        <v>44774</v>
      </c>
      <c r="B13" s="11">
        <v>48521.447204589844</v>
      </c>
      <c r="D13" s="7" t="s">
        <v>193</v>
      </c>
      <c r="E13" s="7" t="s">
        <v>170</v>
      </c>
      <c r="F13" s="7" t="s">
        <v>204</v>
      </c>
      <c r="G13" s="7" t="s">
        <v>205</v>
      </c>
      <c r="H13" s="7" t="s">
        <v>206</v>
      </c>
    </row>
    <row r="14" spans="1:8" x14ac:dyDescent="0.3">
      <c r="A14" s="29">
        <v>44805</v>
      </c>
      <c r="B14" s="11">
        <v>51628.980041503906</v>
      </c>
      <c r="D14" s="29">
        <f t="shared" ref="D14:D19" si="0">A44</f>
        <v>45658</v>
      </c>
      <c r="E14" s="11">
        <f t="shared" ref="E14:E19" si="1">_xlfn.FORECAST.ETS(A44,$B$6:$B$41,$A$6:$A$41)</f>
        <v>64830.743266672449</v>
      </c>
      <c r="F14" s="11">
        <f t="shared" ref="F14:F19" si="2">E14-H14</f>
        <v>57181.758017558779</v>
      </c>
      <c r="G14" s="11">
        <f t="shared" ref="G14:G19" si="3">E14+H14</f>
        <v>72479.728515786119</v>
      </c>
      <c r="H14" s="11">
        <f t="shared" ref="H14:H19" si="4">_xlfn.FORECAST.ETS.CONFINT(A44,$B$6:$B$41,$A$6:$A$41,0.95)</f>
        <v>7648.985249113668</v>
      </c>
    </row>
    <row r="15" spans="1:8" x14ac:dyDescent="0.3">
      <c r="A15" s="29">
        <v>44835</v>
      </c>
      <c r="B15" s="11">
        <v>58418.075805664063</v>
      </c>
      <c r="D15" s="29">
        <f t="shared" si="0"/>
        <v>45689</v>
      </c>
      <c r="E15" s="11">
        <f t="shared" si="1"/>
        <v>61251.032454758781</v>
      </c>
      <c r="F15" s="11">
        <f t="shared" si="2"/>
        <v>53602.012785288942</v>
      </c>
      <c r="G15" s="11">
        <f t="shared" si="3"/>
        <v>68900.05212422862</v>
      </c>
      <c r="H15" s="11">
        <f t="shared" si="4"/>
        <v>7649.0196694698425</v>
      </c>
    </row>
    <row r="16" spans="1:8" x14ac:dyDescent="0.3">
      <c r="A16" s="29">
        <v>44866</v>
      </c>
      <c r="B16" s="11">
        <v>71090.705505371094</v>
      </c>
      <c r="D16" s="29">
        <f t="shared" si="0"/>
        <v>45717</v>
      </c>
      <c r="E16" s="11">
        <f t="shared" si="1"/>
        <v>65406.31345154687</v>
      </c>
      <c r="F16" s="11">
        <f t="shared" si="2"/>
        <v>57757.232590715161</v>
      </c>
      <c r="G16" s="11">
        <f t="shared" si="3"/>
        <v>73055.394312378587</v>
      </c>
      <c r="H16" s="11">
        <f t="shared" si="4"/>
        <v>7649.080860831712</v>
      </c>
    </row>
    <row r="17" spans="1:8" x14ac:dyDescent="0.3">
      <c r="A17" s="29">
        <v>44896</v>
      </c>
      <c r="B17" s="11">
        <v>84828.065399169922</v>
      </c>
      <c r="D17" s="29">
        <f t="shared" si="0"/>
        <v>45748</v>
      </c>
      <c r="E17" s="11">
        <f t="shared" si="1"/>
        <v>72705.028798209256</v>
      </c>
      <c r="F17" s="11">
        <f t="shared" si="2"/>
        <v>65055.852326854612</v>
      </c>
      <c r="G17" s="11">
        <f t="shared" si="3"/>
        <v>80354.205269563899</v>
      </c>
      <c r="H17" s="11">
        <f t="shared" si="4"/>
        <v>7649.1764713546472</v>
      </c>
    </row>
    <row r="18" spans="1:8" x14ac:dyDescent="0.3">
      <c r="A18" s="29">
        <v>44927</v>
      </c>
      <c r="B18" s="11">
        <v>50725.238708496094</v>
      </c>
      <c r="D18" s="29">
        <f t="shared" si="0"/>
        <v>45778</v>
      </c>
      <c r="E18" s="11">
        <f t="shared" si="1"/>
        <v>82314.640081207297</v>
      </c>
      <c r="F18" s="11">
        <f t="shared" si="2"/>
        <v>74665.325932799096</v>
      </c>
      <c r="G18" s="11">
        <f t="shared" si="3"/>
        <v>89963.954229615498</v>
      </c>
      <c r="H18" s="11">
        <f t="shared" si="4"/>
        <v>7649.3141484081971</v>
      </c>
    </row>
    <row r="19" spans="1:8" x14ac:dyDescent="0.3">
      <c r="A19" s="29">
        <v>44958</v>
      </c>
      <c r="B19" s="11">
        <v>47580.960021972656</v>
      </c>
      <c r="D19" s="29">
        <f t="shared" si="0"/>
        <v>45809</v>
      </c>
      <c r="E19" s="11">
        <f t="shared" si="1"/>
        <v>91406.404437154677</v>
      </c>
      <c r="F19" s="11">
        <f t="shared" si="2"/>
        <v>83756.902898960863</v>
      </c>
      <c r="G19" s="11">
        <f t="shared" si="3"/>
        <v>99055.905975348491</v>
      </c>
      <c r="H19" s="11">
        <f t="shared" si="4"/>
        <v>7649.5015381938147</v>
      </c>
    </row>
    <row r="20" spans="1:8" x14ac:dyDescent="0.3">
      <c r="A20" s="29">
        <v>44986</v>
      </c>
      <c r="B20" s="11">
        <v>52747.072341918945</v>
      </c>
    </row>
    <row r="21" spans="1:8" x14ac:dyDescent="0.3">
      <c r="A21" s="29">
        <v>45017</v>
      </c>
      <c r="B21" s="11">
        <v>60923.906311035156</v>
      </c>
    </row>
    <row r="22" spans="1:8" x14ac:dyDescent="0.3">
      <c r="A22" s="29">
        <v>45047</v>
      </c>
      <c r="B22" s="11">
        <v>67742.891662597656</v>
      </c>
      <c r="D22" t="s">
        <v>207</v>
      </c>
      <c r="E22" s="4">
        <f>_xlfn.FORECAST.ETS.SEASONALITY($B$6:$B$41,$A$6:$A$41)</f>
        <v>6</v>
      </c>
      <c r="F22" t="s">
        <v>208</v>
      </c>
    </row>
    <row r="23" spans="1:8" x14ac:dyDescent="0.3">
      <c r="A23" s="29">
        <v>45078</v>
      </c>
      <c r="B23" s="11">
        <v>72112.473754882813</v>
      </c>
    </row>
    <row r="24" spans="1:8" x14ac:dyDescent="0.3">
      <c r="A24" s="29">
        <v>45108</v>
      </c>
      <c r="B24" s="11">
        <v>57899.11328125</v>
      </c>
    </row>
    <row r="25" spans="1:8" x14ac:dyDescent="0.3">
      <c r="A25" s="29">
        <v>45139</v>
      </c>
      <c r="B25" s="11">
        <v>52728.037353515625</v>
      </c>
      <c r="D25" s="10" t="s">
        <v>209</v>
      </c>
    </row>
    <row r="26" spans="1:8" x14ac:dyDescent="0.3">
      <c r="A26" s="29">
        <v>45170</v>
      </c>
      <c r="B26" s="11">
        <v>56049.73685836792</v>
      </c>
    </row>
    <row r="27" spans="1:8" x14ac:dyDescent="0.3">
      <c r="A27" s="29">
        <v>45200</v>
      </c>
      <c r="B27" s="11">
        <v>63534.223327636719</v>
      </c>
    </row>
    <row r="28" spans="1:8" x14ac:dyDescent="0.3">
      <c r="A28" s="29">
        <v>45231</v>
      </c>
      <c r="B28" s="11">
        <v>76107.009033203125</v>
      </c>
    </row>
    <row r="29" spans="1:8" x14ac:dyDescent="0.3">
      <c r="A29" s="29">
        <v>45261</v>
      </c>
      <c r="B29" s="11">
        <v>90184.91650390625</v>
      </c>
    </row>
    <row r="30" spans="1:8" x14ac:dyDescent="0.3">
      <c r="A30" s="29">
        <v>45292</v>
      </c>
      <c r="B30" s="11">
        <v>54937.40022277832</v>
      </c>
    </row>
    <row r="31" spans="1:8" x14ac:dyDescent="0.3">
      <c r="A31" s="29">
        <v>45323</v>
      </c>
      <c r="B31" s="11">
        <v>51596.330871582031</v>
      </c>
    </row>
    <row r="32" spans="1:8" x14ac:dyDescent="0.3">
      <c r="A32" s="29">
        <v>45352</v>
      </c>
      <c r="B32" s="11">
        <v>58245.393402099609</v>
      </c>
    </row>
    <row r="33" spans="1:2" x14ac:dyDescent="0.3">
      <c r="A33" s="29">
        <v>45383</v>
      </c>
      <c r="B33" s="11">
        <v>65295.642364501953</v>
      </c>
    </row>
    <row r="34" spans="1:2" x14ac:dyDescent="0.3">
      <c r="A34" s="29">
        <v>45413</v>
      </c>
      <c r="B34" s="11">
        <v>71527.585876464844</v>
      </c>
    </row>
    <row r="35" spans="1:2" x14ac:dyDescent="0.3">
      <c r="A35" s="29">
        <v>45444</v>
      </c>
      <c r="B35" s="11">
        <v>77558.684112548828</v>
      </c>
    </row>
    <row r="36" spans="1:2" x14ac:dyDescent="0.3">
      <c r="A36" s="29">
        <v>45474</v>
      </c>
      <c r="B36" s="11">
        <v>62659.603210449219</v>
      </c>
    </row>
    <row r="37" spans="1:2" x14ac:dyDescent="0.3">
      <c r="A37" s="29">
        <v>45505</v>
      </c>
      <c r="B37" s="11">
        <v>58649.204223632813</v>
      </c>
    </row>
    <row r="38" spans="1:2" x14ac:dyDescent="0.3">
      <c r="A38" s="29">
        <v>45536</v>
      </c>
      <c r="B38" s="11">
        <v>61178.32600402832</v>
      </c>
    </row>
    <row r="39" spans="1:2" x14ac:dyDescent="0.3">
      <c r="A39" s="29">
        <v>45566</v>
      </c>
      <c r="B39" s="11">
        <v>68972.186340332031</v>
      </c>
    </row>
    <row r="40" spans="1:2" x14ac:dyDescent="0.3">
      <c r="A40" s="29">
        <v>45597</v>
      </c>
      <c r="B40" s="11">
        <v>82821.928649902344</v>
      </c>
    </row>
    <row r="41" spans="1:2" x14ac:dyDescent="0.3">
      <c r="A41" s="29">
        <v>45627</v>
      </c>
      <c r="B41" s="11">
        <v>94453.731994628906</v>
      </c>
    </row>
    <row r="43" spans="1:2" x14ac:dyDescent="0.3">
      <c r="A43" t="s">
        <v>194</v>
      </c>
    </row>
    <row r="44" spans="1:2" x14ac:dyDescent="0.3">
      <c r="A44" s="28">
        <v>45658</v>
      </c>
    </row>
    <row r="45" spans="1:2" x14ac:dyDescent="0.3">
      <c r="A45" s="28">
        <v>45689</v>
      </c>
    </row>
    <row r="46" spans="1:2" x14ac:dyDescent="0.3">
      <c r="A46" s="28">
        <v>45717</v>
      </c>
    </row>
    <row r="47" spans="1:2" x14ac:dyDescent="0.3">
      <c r="A47" s="28">
        <v>45748</v>
      </c>
    </row>
    <row r="48" spans="1:2" x14ac:dyDescent="0.3">
      <c r="A48" s="28">
        <v>45778</v>
      </c>
    </row>
    <row r="49" spans="1:1" x14ac:dyDescent="0.3">
      <c r="A49" s="28">
        <v>45809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0DDBA-B68E-47CA-B66D-E78558073151}">
  <sheetPr codeName="Sheet12"/>
  <dimension ref="A1:I30"/>
  <sheetViews>
    <sheetView workbookViewId="0"/>
  </sheetViews>
  <sheetFormatPr defaultRowHeight="14.4" x14ac:dyDescent="0.3"/>
  <cols>
    <col min="1" max="1" width="34.109375" bestFit="1" customWidth="1"/>
    <col min="2" max="2" width="9.5546875" bestFit="1" customWidth="1"/>
    <col min="3" max="3" width="20.77734375" customWidth="1"/>
    <col min="5" max="5" width="35.77734375" customWidth="1"/>
    <col min="6" max="6" width="7.44140625" bestFit="1" customWidth="1"/>
    <col min="8" max="8" width="35.77734375" customWidth="1"/>
  </cols>
  <sheetData>
    <row r="1" spans="1:9" ht="21" x14ac:dyDescent="0.4">
      <c r="A1" s="1" t="s">
        <v>210</v>
      </c>
    </row>
    <row r="2" spans="1:9" x14ac:dyDescent="0.3">
      <c r="A2" s="3" t="s">
        <v>211</v>
      </c>
    </row>
    <row r="4" spans="1:9" x14ac:dyDescent="0.3">
      <c r="A4" s="4" t="s">
        <v>212</v>
      </c>
      <c r="E4" s="4" t="s">
        <v>219</v>
      </c>
      <c r="H4" s="4" t="s">
        <v>225</v>
      </c>
    </row>
    <row r="5" spans="1:9" x14ac:dyDescent="0.3">
      <c r="A5" s="7" t="s">
        <v>213</v>
      </c>
      <c r="B5" s="7" t="s">
        <v>106</v>
      </c>
      <c r="C5" s="7" t="s">
        <v>182</v>
      </c>
      <c r="E5" s="2" t="s">
        <v>220</v>
      </c>
      <c r="H5" s="2" t="s">
        <v>226</v>
      </c>
    </row>
    <row r="6" spans="1:9" x14ac:dyDescent="0.3">
      <c r="A6" s="6" t="s">
        <v>84</v>
      </c>
      <c r="B6" s="18">
        <v>5000</v>
      </c>
      <c r="C6" s="6" t="s">
        <v>214</v>
      </c>
    </row>
    <row r="7" spans="1:9" x14ac:dyDescent="0.3">
      <c r="A7" s="6" t="s">
        <v>215</v>
      </c>
      <c r="B7" s="6">
        <v>7.5</v>
      </c>
      <c r="C7" s="6" t="s">
        <v>216</v>
      </c>
      <c r="E7" s="7" t="s">
        <v>93</v>
      </c>
      <c r="F7" s="31">
        <f>B10</f>
        <v>62500</v>
      </c>
      <c r="H7" t="s">
        <v>227</v>
      </c>
      <c r="I7" s="32">
        <v>100000</v>
      </c>
    </row>
    <row r="8" spans="1:9" x14ac:dyDescent="0.3">
      <c r="A8" s="6" t="s">
        <v>217</v>
      </c>
      <c r="B8" s="6">
        <v>25000</v>
      </c>
      <c r="C8" s="6" t="s">
        <v>218</v>
      </c>
      <c r="E8" s="6">
        <v>3000</v>
      </c>
      <c r="F8" s="6"/>
      <c r="H8" t="s">
        <v>228</v>
      </c>
      <c r="I8" s="24">
        <f>(I7-B8)/B7</f>
        <v>10000</v>
      </c>
    </row>
    <row r="9" spans="1:9" x14ac:dyDescent="0.3">
      <c r="E9" s="6">
        <v>4000</v>
      </c>
      <c r="F9" s="6"/>
    </row>
    <row r="10" spans="1:9" ht="18" x14ac:dyDescent="0.35">
      <c r="A10" t="s">
        <v>144</v>
      </c>
      <c r="B10" s="21">
        <f>B8+B7*B6</f>
        <v>62500</v>
      </c>
      <c r="E10" s="6">
        <v>5000</v>
      </c>
      <c r="F10" s="6"/>
      <c r="H10" s="30" t="s">
        <v>229</v>
      </c>
    </row>
    <row r="11" spans="1:9" x14ac:dyDescent="0.3">
      <c r="E11" s="6">
        <v>6000</v>
      </c>
      <c r="F11" s="6"/>
      <c r="H11" s="30" t="s">
        <v>230</v>
      </c>
    </row>
    <row r="12" spans="1:9" x14ac:dyDescent="0.3">
      <c r="E12" s="6">
        <v>7000</v>
      </c>
      <c r="F12" s="6"/>
      <c r="H12" s="30" t="s">
        <v>231</v>
      </c>
    </row>
    <row r="13" spans="1:9" x14ac:dyDescent="0.3">
      <c r="E13" s="6">
        <v>8000</v>
      </c>
      <c r="F13" s="6"/>
      <c r="H13" s="30" t="s">
        <v>232</v>
      </c>
    </row>
    <row r="14" spans="1:9" x14ac:dyDescent="0.3">
      <c r="E14" s="6">
        <v>9000</v>
      </c>
      <c r="F14" s="6"/>
      <c r="H14" s="30" t="s">
        <v>233</v>
      </c>
    </row>
    <row r="15" spans="1:9" x14ac:dyDescent="0.3">
      <c r="E15" s="6">
        <v>10000</v>
      </c>
      <c r="F15" s="6"/>
    </row>
    <row r="17" spans="1:5" x14ac:dyDescent="0.3">
      <c r="E17" s="30" t="s">
        <v>221</v>
      </c>
    </row>
    <row r="18" spans="1:5" x14ac:dyDescent="0.3">
      <c r="E18" s="30" t="s">
        <v>222</v>
      </c>
    </row>
    <row r="19" spans="1:5" x14ac:dyDescent="0.3">
      <c r="E19" s="30" t="s">
        <v>223</v>
      </c>
    </row>
    <row r="20" spans="1:5" x14ac:dyDescent="0.3">
      <c r="E20" s="30" t="s">
        <v>224</v>
      </c>
    </row>
    <row r="22" spans="1:5" x14ac:dyDescent="0.3">
      <c r="A22" s="4" t="s">
        <v>234</v>
      </c>
    </row>
    <row r="23" spans="1:5" x14ac:dyDescent="0.3">
      <c r="A23" s="2" t="s">
        <v>235</v>
      </c>
    </row>
    <row r="25" spans="1:5" x14ac:dyDescent="0.3">
      <c r="A25" s="7" t="s">
        <v>236</v>
      </c>
      <c r="B25" s="7" t="s">
        <v>93</v>
      </c>
      <c r="C25" s="7" t="s">
        <v>64</v>
      </c>
    </row>
    <row r="26" spans="1:5" x14ac:dyDescent="0.3">
      <c r="A26" s="6" t="s">
        <v>237</v>
      </c>
      <c r="B26" s="11">
        <v>3000</v>
      </c>
      <c r="C26" s="11">
        <f>$B$8+$B$7*B26</f>
        <v>47500</v>
      </c>
    </row>
    <row r="27" spans="1:5" x14ac:dyDescent="0.3">
      <c r="A27" s="6" t="s">
        <v>238</v>
      </c>
      <c r="B27" s="11">
        <v>5000</v>
      </c>
      <c r="C27" s="11">
        <f>$B$8+$B$7*B27</f>
        <v>62500</v>
      </c>
    </row>
    <row r="28" spans="1:5" x14ac:dyDescent="0.3">
      <c r="A28" s="6" t="s">
        <v>239</v>
      </c>
      <c r="B28" s="11">
        <v>8000</v>
      </c>
      <c r="C28" s="11">
        <f>$B$8+$B$7*B28</f>
        <v>85000</v>
      </c>
    </row>
    <row r="30" spans="1:5" x14ac:dyDescent="0.3">
      <c r="A30" s="33" t="s">
        <v>240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2315-4CD6-4A8B-934C-3C72D05E374C}">
  <sheetPr codeName="Sheet13"/>
  <dimension ref="A1:M17"/>
  <sheetViews>
    <sheetView workbookViewId="0"/>
  </sheetViews>
  <sheetFormatPr defaultRowHeight="14.4" x14ac:dyDescent="0.3"/>
  <cols>
    <col min="1" max="1" width="34.109375" bestFit="1" customWidth="1"/>
    <col min="2" max="2" width="9.109375" bestFit="1" customWidth="1"/>
    <col min="3" max="3" width="11.77734375" bestFit="1" customWidth="1"/>
    <col min="4" max="4" width="5.109375" bestFit="1" customWidth="1"/>
    <col min="5" max="5" width="8.6640625" bestFit="1" customWidth="1"/>
    <col min="6" max="6" width="12.5546875" bestFit="1" customWidth="1"/>
    <col min="7" max="7" width="7" bestFit="1" customWidth="1"/>
    <col min="8" max="8" width="10.5546875" bestFit="1" customWidth="1"/>
    <col min="10" max="10" width="24" bestFit="1" customWidth="1"/>
    <col min="11" max="11" width="35.77734375" customWidth="1"/>
    <col min="12" max="12" width="5.77734375" bestFit="1" customWidth="1"/>
    <col min="13" max="13" width="25.77734375" customWidth="1"/>
  </cols>
  <sheetData>
    <row r="1" spans="1:13" ht="21" x14ac:dyDescent="0.4">
      <c r="A1" s="1" t="s">
        <v>241</v>
      </c>
    </row>
    <row r="2" spans="1:13" x14ac:dyDescent="0.3">
      <c r="A2" s="3" t="s">
        <v>242</v>
      </c>
    </row>
    <row r="4" spans="1:13" x14ac:dyDescent="0.3">
      <c r="A4" s="4" t="s">
        <v>243</v>
      </c>
      <c r="J4" s="4" t="s">
        <v>175</v>
      </c>
    </row>
    <row r="5" spans="1:13" x14ac:dyDescent="0.3">
      <c r="A5" s="7" t="s">
        <v>126</v>
      </c>
      <c r="B5" s="7" t="s">
        <v>244</v>
      </c>
      <c r="C5" s="7" t="s">
        <v>245</v>
      </c>
      <c r="D5" s="7" t="s">
        <v>171</v>
      </c>
      <c r="E5" s="7" t="s">
        <v>172</v>
      </c>
      <c r="F5" s="7" t="s">
        <v>246</v>
      </c>
      <c r="G5" s="7" t="s">
        <v>247</v>
      </c>
      <c r="H5" s="7" t="s">
        <v>248</v>
      </c>
      <c r="J5" s="7" t="s">
        <v>249</v>
      </c>
      <c r="K5" s="7" t="s">
        <v>63</v>
      </c>
      <c r="L5" s="7" t="s">
        <v>106</v>
      </c>
      <c r="M5" s="7" t="s">
        <v>88</v>
      </c>
    </row>
    <row r="6" spans="1:13" x14ac:dyDescent="0.3">
      <c r="A6" s="6">
        <v>1</v>
      </c>
      <c r="B6" s="6">
        <v>100</v>
      </c>
      <c r="C6" s="6">
        <v>105</v>
      </c>
      <c r="D6" s="6">
        <f t="shared" ref="D6:D15" si="0">B6-C6</f>
        <v>-5</v>
      </c>
      <c r="E6" s="6">
        <f t="shared" ref="E6:E15" si="1">ABS(D6)</f>
        <v>5</v>
      </c>
      <c r="F6" s="6">
        <f t="shared" ref="F6:F15" si="2">D6^2</f>
        <v>25</v>
      </c>
      <c r="G6" s="34">
        <f t="shared" ref="G6:G15" si="3">(B6-C6)/B6</f>
        <v>-0.05</v>
      </c>
      <c r="H6" s="34">
        <f t="shared" ref="H6:H15" si="4">ABS(G6)</f>
        <v>0.05</v>
      </c>
      <c r="J6" s="6" t="s">
        <v>250</v>
      </c>
      <c r="K6" s="6">
        <f>AVERAGE(E6:E15)</f>
        <v>5</v>
      </c>
      <c r="L6" s="13">
        <f>AVERAGE(E6:E15)</f>
        <v>5</v>
      </c>
      <c r="M6" s="6" t="s">
        <v>251</v>
      </c>
    </row>
    <row r="7" spans="1:13" x14ac:dyDescent="0.3">
      <c r="A7" s="6">
        <v>2</v>
      </c>
      <c r="B7" s="6">
        <v>150</v>
      </c>
      <c r="C7" s="6">
        <v>145</v>
      </c>
      <c r="D7" s="6">
        <f t="shared" si="0"/>
        <v>5</v>
      </c>
      <c r="E7" s="6">
        <f t="shared" si="1"/>
        <v>5</v>
      </c>
      <c r="F7" s="6">
        <f t="shared" si="2"/>
        <v>25</v>
      </c>
      <c r="G7" s="34">
        <f t="shared" si="3"/>
        <v>3.3333333333333333E-2</v>
      </c>
      <c r="H7" s="34">
        <f t="shared" si="4"/>
        <v>3.3333333333333333E-2</v>
      </c>
      <c r="J7" s="6" t="s">
        <v>252</v>
      </c>
      <c r="K7" s="6">
        <f>AVERAGE(F6:F15)</f>
        <v>25</v>
      </c>
      <c r="L7" s="13">
        <f>AVERAGE(F6:F15)</f>
        <v>25</v>
      </c>
      <c r="M7" s="6" t="s">
        <v>253</v>
      </c>
    </row>
    <row r="8" spans="1:13" x14ac:dyDescent="0.3">
      <c r="A8" s="6">
        <v>3</v>
      </c>
      <c r="B8" s="6">
        <v>120</v>
      </c>
      <c r="C8" s="6">
        <v>125</v>
      </c>
      <c r="D8" s="6">
        <f t="shared" si="0"/>
        <v>-5</v>
      </c>
      <c r="E8" s="6">
        <f t="shared" si="1"/>
        <v>5</v>
      </c>
      <c r="F8" s="6">
        <f t="shared" si="2"/>
        <v>25</v>
      </c>
      <c r="G8" s="34">
        <f t="shared" si="3"/>
        <v>-4.1666666666666664E-2</v>
      </c>
      <c r="H8" s="34">
        <f t="shared" si="4"/>
        <v>4.1666666666666664E-2</v>
      </c>
      <c r="J8" s="6" t="s">
        <v>181</v>
      </c>
      <c r="K8" s="6">
        <f>SQRT(AVERAGE(F6:F15))</f>
        <v>5</v>
      </c>
      <c r="L8" s="13">
        <f>SQRT(AVERAGE(F6:F15))</f>
        <v>5</v>
      </c>
      <c r="M8" s="6" t="s">
        <v>254</v>
      </c>
    </row>
    <row r="9" spans="1:13" x14ac:dyDescent="0.3">
      <c r="A9" s="6">
        <v>4</v>
      </c>
      <c r="B9" s="6">
        <v>180</v>
      </c>
      <c r="C9" s="6">
        <v>175</v>
      </c>
      <c r="D9" s="6">
        <f t="shared" si="0"/>
        <v>5</v>
      </c>
      <c r="E9" s="6">
        <f t="shared" si="1"/>
        <v>5</v>
      </c>
      <c r="F9" s="6">
        <f t="shared" si="2"/>
        <v>25</v>
      </c>
      <c r="G9" s="34">
        <f t="shared" si="3"/>
        <v>2.7777777777777776E-2</v>
      </c>
      <c r="H9" s="34">
        <f t="shared" si="4"/>
        <v>2.7777777777777776E-2</v>
      </c>
      <c r="J9" s="6" t="s">
        <v>255</v>
      </c>
      <c r="K9" s="34">
        <f>AVERAGE(H6:H15)</f>
        <v>3.1045179235968712E-2</v>
      </c>
      <c r="L9" s="13">
        <f>AVERAGE(H6:H15)*100</f>
        <v>3.1045179235968714</v>
      </c>
      <c r="M9" s="6" t="s">
        <v>256</v>
      </c>
    </row>
    <row r="10" spans="1:13" x14ac:dyDescent="0.3">
      <c r="A10" s="6">
        <v>5</v>
      </c>
      <c r="B10" s="6">
        <v>200</v>
      </c>
      <c r="C10" s="6">
        <v>195</v>
      </c>
      <c r="D10" s="6">
        <f t="shared" si="0"/>
        <v>5</v>
      </c>
      <c r="E10" s="6">
        <f t="shared" si="1"/>
        <v>5</v>
      </c>
      <c r="F10" s="6">
        <f t="shared" si="2"/>
        <v>25</v>
      </c>
      <c r="G10" s="34">
        <f t="shared" si="3"/>
        <v>2.5000000000000001E-2</v>
      </c>
      <c r="H10" s="34">
        <f t="shared" si="4"/>
        <v>2.5000000000000001E-2</v>
      </c>
      <c r="J10" s="6" t="s">
        <v>111</v>
      </c>
      <c r="K10" s="6">
        <f>RSQ(B6:B15,C6:C15)</f>
        <v>0.98922579491056117</v>
      </c>
      <c r="L10" s="13">
        <f>RSQ(B6:B15,C6:C15)</f>
        <v>0.98922579491056117</v>
      </c>
      <c r="M10" s="6" t="s">
        <v>257</v>
      </c>
    </row>
    <row r="11" spans="1:13" x14ac:dyDescent="0.3">
      <c r="A11" s="6">
        <v>6</v>
      </c>
      <c r="B11" s="6">
        <v>160</v>
      </c>
      <c r="C11" s="6">
        <v>165</v>
      </c>
      <c r="D11" s="6">
        <f t="shared" si="0"/>
        <v>-5</v>
      </c>
      <c r="E11" s="6">
        <f t="shared" si="1"/>
        <v>5</v>
      </c>
      <c r="F11" s="6">
        <f t="shared" si="2"/>
        <v>25</v>
      </c>
      <c r="G11" s="34">
        <f t="shared" si="3"/>
        <v>-3.125E-2</v>
      </c>
      <c r="H11" s="34">
        <f t="shared" si="4"/>
        <v>3.125E-2</v>
      </c>
    </row>
    <row r="12" spans="1:13" x14ac:dyDescent="0.3">
      <c r="A12" s="6">
        <v>7</v>
      </c>
      <c r="B12" s="6">
        <v>190</v>
      </c>
      <c r="C12" s="6">
        <v>185</v>
      </c>
      <c r="D12" s="6">
        <f t="shared" si="0"/>
        <v>5</v>
      </c>
      <c r="E12" s="6">
        <f t="shared" si="1"/>
        <v>5</v>
      </c>
      <c r="F12" s="6">
        <f t="shared" si="2"/>
        <v>25</v>
      </c>
      <c r="G12" s="34">
        <f t="shared" si="3"/>
        <v>2.6315789473684209E-2</v>
      </c>
      <c r="H12" s="34">
        <f t="shared" si="4"/>
        <v>2.6315789473684209E-2</v>
      </c>
    </row>
    <row r="13" spans="1:13" x14ac:dyDescent="0.3">
      <c r="A13" s="6">
        <v>8</v>
      </c>
      <c r="B13" s="6">
        <v>210</v>
      </c>
      <c r="C13" s="6">
        <v>205</v>
      </c>
      <c r="D13" s="6">
        <f t="shared" si="0"/>
        <v>5</v>
      </c>
      <c r="E13" s="6">
        <f t="shared" si="1"/>
        <v>5</v>
      </c>
      <c r="F13" s="6">
        <f t="shared" si="2"/>
        <v>25</v>
      </c>
      <c r="G13" s="34">
        <f t="shared" si="3"/>
        <v>2.3809523809523808E-2</v>
      </c>
      <c r="H13" s="34">
        <f t="shared" si="4"/>
        <v>2.3809523809523808E-2</v>
      </c>
      <c r="J13" s="4" t="s">
        <v>258</v>
      </c>
    </row>
    <row r="14" spans="1:13" x14ac:dyDescent="0.3">
      <c r="A14" s="6">
        <v>9</v>
      </c>
      <c r="B14" s="6">
        <v>175</v>
      </c>
      <c r="C14" s="6">
        <v>180</v>
      </c>
      <c r="D14" s="6">
        <f t="shared" si="0"/>
        <v>-5</v>
      </c>
      <c r="E14" s="6">
        <f t="shared" si="1"/>
        <v>5</v>
      </c>
      <c r="F14" s="6">
        <f t="shared" si="2"/>
        <v>25</v>
      </c>
      <c r="G14" s="34">
        <f t="shared" si="3"/>
        <v>-2.8571428571428571E-2</v>
      </c>
      <c r="H14" s="34">
        <f t="shared" si="4"/>
        <v>2.8571428571428571E-2</v>
      </c>
      <c r="J14" s="7" t="s">
        <v>259</v>
      </c>
      <c r="K14" s="7" t="s">
        <v>260</v>
      </c>
    </row>
    <row r="15" spans="1:13" x14ac:dyDescent="0.3">
      <c r="A15" s="6">
        <v>10</v>
      </c>
      <c r="B15" s="6">
        <v>220</v>
      </c>
      <c r="C15" s="6">
        <v>215</v>
      </c>
      <c r="D15" s="6">
        <f t="shared" si="0"/>
        <v>5</v>
      </c>
      <c r="E15" s="6">
        <f t="shared" si="1"/>
        <v>5</v>
      </c>
      <c r="F15" s="6">
        <f t="shared" si="2"/>
        <v>25</v>
      </c>
      <c r="G15" s="34">
        <f t="shared" si="3"/>
        <v>2.2727272727272728E-2</v>
      </c>
      <c r="H15" s="34">
        <f t="shared" si="4"/>
        <v>2.2727272727272728E-2</v>
      </c>
      <c r="J15" s="6" t="s">
        <v>261</v>
      </c>
      <c r="K15" s="6" t="s">
        <v>262</v>
      </c>
    </row>
    <row r="16" spans="1:13" x14ac:dyDescent="0.3">
      <c r="J16" s="6" t="s">
        <v>263</v>
      </c>
      <c r="K16" s="6" t="s">
        <v>264</v>
      </c>
    </row>
    <row r="17" spans="10:11" x14ac:dyDescent="0.3">
      <c r="J17" s="6" t="s">
        <v>265</v>
      </c>
      <c r="K17" s="6" t="s">
        <v>266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DB62D-DABC-4B41-A6CA-37976CCBFFED}">
  <sheetPr codeName="Sheet14"/>
  <dimension ref="A1:E27"/>
  <sheetViews>
    <sheetView tabSelected="1" workbookViewId="0">
      <selection activeCell="E16" sqref="E16"/>
    </sheetView>
  </sheetViews>
  <sheetFormatPr defaultRowHeight="14.4" x14ac:dyDescent="0.3"/>
  <cols>
    <col min="1" max="1" width="30.33203125" bestFit="1" customWidth="1"/>
    <col min="2" max="2" width="50.77734375" customWidth="1"/>
    <col min="3" max="3" width="30.77734375" customWidth="1"/>
    <col min="5" max="5" width="60.77734375" customWidth="1"/>
  </cols>
  <sheetData>
    <row r="1" spans="1:5" ht="21" x14ac:dyDescent="0.4">
      <c r="A1" s="1" t="s">
        <v>0</v>
      </c>
    </row>
    <row r="2" spans="1:5" x14ac:dyDescent="0.3">
      <c r="A2" s="3" t="s">
        <v>1</v>
      </c>
    </row>
    <row r="4" spans="1:5" ht="15.6" x14ac:dyDescent="0.3">
      <c r="A4" s="5" t="s">
        <v>2</v>
      </c>
      <c r="E4" s="5" t="s">
        <v>36</v>
      </c>
    </row>
    <row r="5" spans="1:5" x14ac:dyDescent="0.3">
      <c r="A5" s="7" t="s">
        <v>3</v>
      </c>
      <c r="B5" s="7" t="s">
        <v>4</v>
      </c>
      <c r="C5" s="7" t="s">
        <v>5</v>
      </c>
      <c r="E5" s="8" t="s">
        <v>37</v>
      </c>
    </row>
    <row r="6" spans="1:5" x14ac:dyDescent="0.3">
      <c r="A6" s="6" t="s">
        <v>6</v>
      </c>
      <c r="B6" s="6" t="e">
        <f>AVERAGE(range)</f>
        <v>#NAME?</v>
      </c>
      <c r="C6" s="6" t="s">
        <v>7</v>
      </c>
      <c r="E6" s="8" t="s">
        <v>38</v>
      </c>
    </row>
    <row r="7" spans="1:5" x14ac:dyDescent="0.3">
      <c r="A7" s="6" t="s">
        <v>8</v>
      </c>
      <c r="B7" s="6" t="e">
        <f>MEDIAN(range)</f>
        <v>#NAME?</v>
      </c>
      <c r="C7" s="6" t="s">
        <v>9</v>
      </c>
      <c r="E7" s="8" t="s">
        <v>39</v>
      </c>
    </row>
    <row r="8" spans="1:5" x14ac:dyDescent="0.3">
      <c r="A8" s="6" t="s">
        <v>10</v>
      </c>
      <c r="B8" s="6" t="e">
        <f>_xlfn.STDEV.S(range)</f>
        <v>#NAME?</v>
      </c>
      <c r="C8" s="6" t="s">
        <v>11</v>
      </c>
      <c r="E8" s="8" t="s">
        <v>40</v>
      </c>
    </row>
    <row r="9" spans="1:5" x14ac:dyDescent="0.3">
      <c r="A9" s="6" t="s">
        <v>12</v>
      </c>
      <c r="B9" s="6" t="e">
        <f>_xlfn.PERCENTILE.INC(range, k)</f>
        <v>#NAME?</v>
      </c>
      <c r="C9" s="6" t="s">
        <v>13</v>
      </c>
      <c r="E9" s="8" t="s">
        <v>41</v>
      </c>
    </row>
    <row r="10" spans="1:5" x14ac:dyDescent="0.3">
      <c r="E10" s="8" t="s">
        <v>42</v>
      </c>
    </row>
    <row r="11" spans="1:5" x14ac:dyDescent="0.3">
      <c r="E11" s="8" t="s">
        <v>43</v>
      </c>
    </row>
    <row r="12" spans="1:5" ht="15.6" x14ac:dyDescent="0.3">
      <c r="A12" s="5" t="s">
        <v>14</v>
      </c>
    </row>
    <row r="13" spans="1:5" x14ac:dyDescent="0.3">
      <c r="A13" s="7" t="s">
        <v>3</v>
      </c>
      <c r="B13" s="7" t="s">
        <v>4</v>
      </c>
      <c r="C13" s="7" t="s">
        <v>5</v>
      </c>
    </row>
    <row r="14" spans="1:5" x14ac:dyDescent="0.3">
      <c r="A14" s="6" t="s">
        <v>15</v>
      </c>
      <c r="B14" s="6" t="e">
        <f>CORREL(array1, array2)</f>
        <v>#NAME?</v>
      </c>
      <c r="C14" s="6" t="s">
        <v>16</v>
      </c>
    </row>
    <row r="15" spans="1:5" x14ac:dyDescent="0.3">
      <c r="A15" s="6" t="s">
        <v>17</v>
      </c>
      <c r="B15" s="6" t="e">
        <f>SLOPE(y_range, x_range)</f>
        <v>#NAME?</v>
      </c>
      <c r="C15" s="6" t="s">
        <v>18</v>
      </c>
    </row>
    <row r="16" spans="1:5" x14ac:dyDescent="0.3">
      <c r="A16" s="6" t="s">
        <v>19</v>
      </c>
      <c r="B16" s="6" t="e">
        <f>INTERCEPT(y_range, x_range)</f>
        <v>#NAME?</v>
      </c>
      <c r="C16" s="6" t="s">
        <v>20</v>
      </c>
    </row>
    <row r="17" spans="1:3" x14ac:dyDescent="0.3">
      <c r="A17" s="6" t="s">
        <v>21</v>
      </c>
      <c r="B17" s="6" t="e">
        <f>RSQ(y_range, x_range)</f>
        <v>#NAME?</v>
      </c>
      <c r="C17" s="6" t="s">
        <v>22</v>
      </c>
    </row>
    <row r="18" spans="1:3" x14ac:dyDescent="0.3">
      <c r="A18" s="6" t="s">
        <v>23</v>
      </c>
      <c r="B18" s="6" t="e">
        <f>LINEST(y, x, TRUE, TRUE)</f>
        <v>#NAME?</v>
      </c>
      <c r="C18" s="6" t="s">
        <v>24</v>
      </c>
    </row>
    <row r="19" spans="1:3" x14ac:dyDescent="0.3">
      <c r="A19" s="6" t="s">
        <v>25</v>
      </c>
      <c r="B19" s="6" t="e">
        <f>TREND(y, x, new_x)</f>
        <v>#NAME?</v>
      </c>
      <c r="C19" s="6" t="s">
        <v>26</v>
      </c>
    </row>
    <row r="22" spans="1:3" ht="15.6" x14ac:dyDescent="0.3">
      <c r="A22" s="5" t="s">
        <v>27</v>
      </c>
    </row>
    <row r="23" spans="1:3" x14ac:dyDescent="0.3">
      <c r="A23" s="7" t="s">
        <v>3</v>
      </c>
      <c r="B23" s="7" t="s">
        <v>4</v>
      </c>
      <c r="C23" s="7" t="s">
        <v>5</v>
      </c>
    </row>
    <row r="24" spans="1:3" x14ac:dyDescent="0.3">
      <c r="A24" s="6" t="s">
        <v>28</v>
      </c>
      <c r="B24" s="6" t="e">
        <f>_xlfn.FORECAST.LINEAR(x, y_range, x_range)</f>
        <v>#NAME?</v>
      </c>
      <c r="C24" s="6" t="s">
        <v>29</v>
      </c>
    </row>
    <row r="25" spans="1:3" x14ac:dyDescent="0.3">
      <c r="A25" s="6" t="s">
        <v>30</v>
      </c>
      <c r="B25" s="6" t="e">
        <f>_xlfn.FORECAST.ETS(_xleta.DATE, values, timeline)</f>
        <v>#VALUE!</v>
      </c>
      <c r="C25" s="6" t="s">
        <v>31</v>
      </c>
    </row>
    <row r="26" spans="1:3" x14ac:dyDescent="0.3">
      <c r="A26" s="6" t="s">
        <v>32</v>
      </c>
      <c r="B26" s="6" t="e">
        <f>_xlfn.FORECAST.ETS.CONFINT(_xleta.DATE, values, timeline, level)</f>
        <v>#VALUE!</v>
      </c>
      <c r="C26" s="6" t="s">
        <v>33</v>
      </c>
    </row>
    <row r="27" spans="1:3" x14ac:dyDescent="0.3">
      <c r="A27" s="6" t="s">
        <v>34</v>
      </c>
      <c r="B27" s="6" t="e">
        <f>_xlfn.FORECAST.ETS.SEASONALITY(values, timeline)</f>
        <v>#NAME?</v>
      </c>
      <c r="C27" s="6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1-DescriptiveStats</vt:lpstr>
      <vt:lpstr>2-Correlation</vt:lpstr>
      <vt:lpstr>3-SimpleRegression</vt:lpstr>
      <vt:lpstr>4-MultipleRegression</vt:lpstr>
      <vt:lpstr>5-MovingAverage</vt:lpstr>
      <vt:lpstr>6-ExponentialSmooth</vt:lpstr>
      <vt:lpstr>7-ForecastETS</vt:lpstr>
      <vt:lpstr>8-WhatIfAnalysis</vt:lpstr>
      <vt:lpstr>9-ModelEvaluation</vt:lpstr>
      <vt:lpstr>10-QuickReference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Yerlan Yerlan</dc:creator>
  <cp:lastModifiedBy>Yerlan Yerlan</cp:lastModifiedBy>
  <dcterms:created xsi:type="dcterms:W3CDTF">2015-06-05T18:17:20Z</dcterms:created>
  <dcterms:modified xsi:type="dcterms:W3CDTF">2025-12-12T20:15:54Z</dcterms:modified>
</cp:coreProperties>
</file>